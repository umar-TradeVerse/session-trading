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6.xml.rels" ContentType="application/vnd.openxmlformats-package.relationships+xml"/>
  <Override PartName="/xl/worksheets/_rels/sheet5.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Calculator" sheetId="2" state="visible" r:id="rId4"/>
    <sheet name="Summary" sheetId="3" state="visible" r:id="rId5"/>
    <sheet name="Settings" sheetId="4" state="visible" r:id="rId6"/>
    <sheet name="Trades" sheetId="5" state="visible" r:id="rId7"/>
    <sheet name="Signals" sheetId="6" state="visible" r:id="rId8"/>
    <sheet name="Sensitivity" sheetId="7" state="visible" r:id="rId9"/>
  </sheets>
  <definedNames>
    <definedName function="false" hidden="true" localSheetId="5" name="_xlnm._FilterDatabase" vbProcedure="false">Signals!$A$1:$R$582</definedName>
    <definedName function="false" hidden="true" localSheetId="4" name="_xlnm._FilterDatabase" vbProcedure="false">Trades!$A$1:$X$302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<sst xmlns="http://schemas.openxmlformats.org/spreadsheetml/2006/main" count="7017" uniqueCount="634">
  <si>
    <t xml:space="preserve">SORB-15 — the data behind the backtest result</t>
  </si>
  <si>
    <t xml:space="preserve">What is in this file</t>
  </si>
  <si>
    <t xml:space="preserve">Calculator   — change 3 blue cells (taker fee, slippage, funding) and see the net P&amp;L of the same 301 trades recalculate. Also shows the fee at which the rules would break even.</t>
  </si>
  <si>
    <t xml:space="preserve">Summary      — the result split by sub-agent, session, side, exit reason and month. Live: it follows the Calculator.</t>
  </si>
  <si>
    <t xml:space="preserve">Trades       — all 301 trades, times in IST, with the cost of each one broken into slippage, fees and funding.</t>
  </si>
  <si>
    <t xml:space="preserve">Settings     — every value the backtest used, and who it came from: your rule, a value I chose, or an assumption to verify.</t>
  </si>
  <si>
    <t xml:space="preserve">Signals      — every session the engine looked at (including the 278 where nothing qualified).</t>
  </si>
  <si>
    <t xml:space="preserve">Sensitivity  — the 9 exact re-runs of the engine from the notebook (these are exact; the Calculator is a recompute).</t>
  </si>
  <si>
    <t xml:space="preserve">Two things you should know before you check it</t>
  </si>
  <si>
    <t xml:space="preserve">1. 'Gross' in my notebook already has slippage taken out of it. The engine applies slippage to every fill price, so it never appears under 'costs'. The notebook label ('gross is price movement only') was wrong. This file separates the three: gross before slippage, slippage, fees (+ funding). The NET figure was never affected.</t>
  </si>
  <si>
    <t xml:space="preserve">2. The Calculator re-prices the same 301 trades. If you change costs in the real engine, the daily-loss limit and the 4-loss halt can change WHICH trades happen (my own 0.04% fee test ran 304 trades, not 301). For the exact answer, put your values in the OV line of the notebook (cell 2) and run all. For checking whether the conclusion survives a different fee or slippage, the Calculator is accurate to within a few rupees (at the values I used it reproduces the backtest net to within Rs 1).</t>
  </si>
  <si>
    <t xml:space="preserve">The candle data</t>
  </si>
  <si>
    <t xml:space="preserve">The 27,882 candles live in your Colab session (variable 'candles'). In a new cell run:</t>
  </si>
  <si>
    <t xml:space="preserve">   import pandas as pd; df = pd.DataFrame(candles); df['time_IST'] = pd.to_datetime(df['t'], unit='ms', utc=True).dt.tz_convert('Asia/Kolkata'); df.to_csv('final_candles.csv', index=False)</t>
  </si>
  <si>
    <t xml:space="preserve">   from google.colab import files; files.download('final_candles.csv')</t>
  </si>
  <si>
    <t xml:space="preserve">Colour code: blue text on yellow = a value you can change. Black = formula.</t>
  </si>
  <si>
    <t xml:space="preserve">Change the three blue/yellow cells. Net P&amp;L of the same 301 trades recalculates.</t>
  </si>
  <si>
    <t xml:space="preserve">Costs are charged per side (entry and each exit). Slippage is applied to every fill. 'As run' = the values my backtest used.</t>
  </si>
  <si>
    <t xml:space="preserve">Input</t>
  </si>
  <si>
    <t xml:space="preserve">YOUR value</t>
  </si>
  <si>
    <t xml:space="preserve">Used in my backtest</t>
  </si>
  <si>
    <t xml:space="preserve">Note</t>
  </si>
  <si>
    <t xml:space="preserve">Taker fee (per side)</t>
  </si>
  <si>
    <t xml:space="preserve">ASSUMED by me — never confirmed against your CoinDCX account (0.059% = 0.05% + 18% GST).</t>
  </si>
  <si>
    <t xml:space="preserve">Slippage (per side)</t>
  </si>
  <si>
    <t xml:space="preserve">ASSUMED by me. Applied to entry and every exit fill.</t>
  </si>
  <si>
    <t xml:space="preserve">Funding rate per 8 hours</t>
  </si>
  <si>
    <t xml:space="preserve">ASSUMED (typical BTC perpetual). Charged on hold time; tiny at these hold times.</t>
  </si>
  <si>
    <t xml:space="preserve">Result (₹)</t>
  </si>
  <si>
    <t xml:space="preserve">With YOUR values</t>
  </si>
  <si>
    <t xml:space="preserve">As run (my backtest)</t>
  </si>
  <si>
    <t xml:space="preserve">Difference</t>
  </si>
  <si>
    <t xml:space="preserve">Trades</t>
  </si>
  <si>
    <t xml:space="preserve">Gross P&amp;L before slippage</t>
  </si>
  <si>
    <t xml:space="preserve">  Slippage</t>
  </si>
  <si>
    <t xml:space="preserve">  Fees</t>
  </si>
  <si>
    <t xml:space="preserve">  Funding</t>
  </si>
  <si>
    <t xml:space="preserve">NET P&amp;L</t>
  </si>
  <si>
    <t xml:space="preserve">Net per trade</t>
  </si>
  <si>
    <t xml:space="preserve">Return on capital</t>
  </si>
  <si>
    <t xml:space="preserve">Win rate (net &gt; 0)</t>
  </si>
  <si>
    <t xml:space="preserve">Profit factor</t>
  </si>
  <si>
    <t xml:space="preserve">Ending balance (start = capital)</t>
  </si>
  <si>
    <t xml:space="preserve">Where would it break even?</t>
  </si>
  <si>
    <t xml:space="preserve">Taker fee at which NET = 0 (with your slippage and funding)</t>
  </si>
  <si>
    <t xml:space="preserve">Slippage at which NET = 0 (with your fee and funding)</t>
  </si>
  <si>
    <t xml:space="preserve">NET with ZERO fee and ZERO slippage (funding kept)</t>
  </si>
  <si>
    <t xml:space="preserve">NET ₹ for any combination (your funding rate). Edit the blue fee / slippage headers.</t>
  </si>
  <si>
    <t xml:space="preserve">Taker fee ↓   /   Slippage →</t>
  </si>
  <si>
    <t xml:space="preserve">How to read it: green = the 301 trades would have made money under that fee and slippage; red = they would have lost.</t>
  </si>
  <si>
    <t xml:space="preserve">This re-prices the same trades. The real engine can also change which trades happen when costs change (daily-loss limit, 4-loss halt) — use OV in the notebook for the exact figure.</t>
  </si>
  <si>
    <t xml:space="preserve">Funding is derived per trade from my backtest (gross - net - fees). It is small: it is the only figure I could not take straight from the trade file.</t>
  </si>
  <si>
    <t xml:space="preserve">Result by group — follows the Calculator (column F uses YOUR fee / slippage / funding)</t>
  </si>
  <si>
    <t xml:space="preserve">Group</t>
  </si>
  <si>
    <t xml:space="preserve">Gross before slippage ₹</t>
  </si>
  <si>
    <t xml:space="preserve">NET ₹ as run</t>
  </si>
  <si>
    <t xml:space="preserve">NET ₹ with YOUR values</t>
  </si>
  <si>
    <t xml:space="preserve">Win rate (YOUR values)</t>
  </si>
  <si>
    <t xml:space="preserve">SUB-AGENT</t>
  </si>
  <si>
    <t xml:space="preserve">SA1</t>
  </si>
  <si>
    <t xml:space="preserve">SA2</t>
  </si>
  <si>
    <t xml:space="preserve">SA4</t>
  </si>
  <si>
    <t xml:space="preserve">SESSION</t>
  </si>
  <si>
    <t xml:space="preserve">London</t>
  </si>
  <si>
    <t xml:space="preserve">New York</t>
  </si>
  <si>
    <t xml:space="preserve">SIDE</t>
  </si>
  <si>
    <t xml:space="preserve">LONG</t>
  </si>
  <si>
    <t xml:space="preserve">SHORT</t>
  </si>
  <si>
    <t xml:space="preserve">EXIT REASON</t>
  </si>
  <si>
    <t xml:space="preserve">trailing_stop</t>
  </si>
  <si>
    <t xml:space="preserve">stop_loss</t>
  </si>
  <si>
    <t xml:space="preserve">session_end</t>
  </si>
  <si>
    <t xml:space="preserve">breakeven_stop</t>
  </si>
  <si>
    <t xml:space="preserve">MONTH</t>
  </si>
  <si>
    <t xml:space="preserve">2025-12</t>
  </si>
  <si>
    <t xml:space="preserve">2026-01</t>
  </si>
  <si>
    <t xml:space="preserve">2026-02</t>
  </si>
  <si>
    <t xml:space="preserve">2026-03</t>
  </si>
  <si>
    <t xml:space="preserve">2026-04</t>
  </si>
  <si>
    <t xml:space="preserve">2026-05</t>
  </si>
  <si>
    <t xml:space="preserve">2026-06</t>
  </si>
  <si>
    <t xml:space="preserve">2026-07</t>
  </si>
  <si>
    <t xml:space="preserve">2026-08</t>
  </si>
  <si>
    <t xml:space="preserve">2026-09</t>
  </si>
  <si>
    <t xml:space="preserve">2026-10</t>
  </si>
  <si>
    <t xml:space="preserve">Setting</t>
  </si>
  <si>
    <t xml:space="preserve">Value</t>
  </si>
  <si>
    <t xml:space="preserve">What it does</t>
  </si>
  <si>
    <t xml:space="preserve">Where it came from</t>
  </si>
  <si>
    <t xml:space="preserve">Capital (₹)</t>
  </si>
  <si>
    <t xml:space="preserve">Account size. Used for return % and the account-wipe floor.</t>
  </si>
  <si>
    <t xml:space="preserve">You</t>
  </si>
  <si>
    <t xml:space="preserve">Leverage</t>
  </si>
  <si>
    <t xml:space="preserve">10x isolated.</t>
  </si>
  <si>
    <t xml:space="preserve">Risk per trade (₹)</t>
  </si>
  <si>
    <t xml:space="preserve">A stop-out should lose at most this (before fees). Position is sized to it, then floored to the exchange step.</t>
  </si>
  <si>
    <t xml:space="preserve">You (2% of capital)</t>
  </si>
  <si>
    <t xml:space="preserve">USD/INR</t>
  </si>
  <si>
    <t xml:space="preserve">Converts the ₹ risk into BTC quantity. Notional ₹ = qty x entry x this.</t>
  </si>
  <si>
    <t xml:space="preserve">Assumed — set near the live rate</t>
  </si>
  <si>
    <t xml:space="preserve">Pair / timeframe</t>
  </si>
  <si>
    <t xml:space="preserve">B-BTC_USDT 15m</t>
  </si>
  <si>
    <t xml:space="preserve">CoinDCX futures candles.</t>
  </si>
  <si>
    <t xml:space="preserve">Your rule</t>
  </si>
  <si>
    <t xml:space="preserve">Sessions (IST)</t>
  </si>
  <si>
    <t xml:space="preserve">London 13:00–18:45, New York 19:00–01:15</t>
  </si>
  <si>
    <t xml:space="preserve">First 15m candle of each session sets the high/low range.</t>
  </si>
  <si>
    <t xml:space="preserve">Entry deadline (IST)</t>
  </si>
  <si>
    <t xml:space="preserve">London 14:45, New York 20:45</t>
  </si>
  <si>
    <t xml:space="preserve">No new entries after this.</t>
  </si>
  <si>
    <t xml:space="preserve">Trades per session</t>
  </si>
  <si>
    <t xml:space="preserve">One trade per session.</t>
  </si>
  <si>
    <t xml:space="preserve">Entry</t>
  </si>
  <si>
    <t xml:space="preserve">Next candle open after the trigger candle closes (+ slippage)</t>
  </si>
  <si>
    <t xml:space="preserve">Never enters on the trigger candle itself.</t>
  </si>
  <si>
    <t xml:space="preserve">Breakout qualifies if</t>
  </si>
  <si>
    <t xml:space="preserve">Closes beyond the level, &gt;=50% of the candle beyond it</t>
  </si>
  <si>
    <t xml:space="preserve">Close-strength test.</t>
  </si>
  <si>
    <t xml:space="preserve">Your rule (v5 condition 1)</t>
  </si>
  <si>
    <t xml:space="preserve">Stop buffer SA1 / SA4</t>
  </si>
  <si>
    <t xml:space="preserve">Stop sits this far beyond the broken level.</t>
  </si>
  <si>
    <t xml:space="preserve">Your rule (v5 condition 3)</t>
  </si>
  <si>
    <t xml:space="preserve">Stop buffer SA2</t>
  </si>
  <si>
    <t xml:space="preserve">Wider stop for the tap/rejection sub-agent.</t>
  </si>
  <si>
    <t xml:space="preserve">CHOSEN BY ME from a parameter sweep — not your number. Check.</t>
  </si>
  <si>
    <t xml:space="preserve">Partial exit</t>
  </si>
  <si>
    <t xml:space="preserve">50% of the position at +0.5R</t>
  </si>
  <si>
    <t xml:space="preserve">Quantised to 0.001 BTC; skipped if it cannot be split into two valid orders.</t>
  </si>
  <si>
    <t xml:space="preserve">Your rule (v5 conditions 5)</t>
  </si>
  <si>
    <t xml:space="preserve">Trail</t>
  </si>
  <si>
    <t xml:space="preserve">0.25R behind the best price, from +0.5R</t>
  </si>
  <si>
    <t xml:space="preserve">Intrabar.</t>
  </si>
  <si>
    <t xml:space="preserve">Your rule (v5 condition 6)</t>
  </si>
  <si>
    <t xml:space="preserve">Breakeven stop</t>
  </si>
  <si>
    <t xml:space="preserve">At +1.0R, stop to entry +0.16%</t>
  </si>
  <si>
    <t xml:space="preserve">Covers fees.</t>
  </si>
  <si>
    <t xml:space="preserve">+0.16% is yours (v5 condition 7); the +1.0R trigger is my setting. Check.</t>
  </si>
  <si>
    <t xml:space="preserve">Doji body / pin-wick multiple</t>
  </si>
  <si>
    <t xml:space="preserve">10% / 2.0</t>
  </si>
  <si>
    <t xml:space="preserve">How the engine recognises a doji or rejection wick.</t>
  </si>
  <si>
    <t xml:space="preserve">MY INTERPRETATION of your wording. Check.</t>
  </si>
  <si>
    <t xml:space="preserve">Tap tolerance</t>
  </si>
  <si>
    <t xml:space="preserve">How close counts as 'tapping' the line.</t>
  </si>
  <si>
    <t xml:space="preserve">MY INTERPRETATION ('very close'). Check.</t>
  </si>
  <si>
    <t xml:space="preserve">Clean-breakout touch tolerance</t>
  </si>
  <si>
    <t xml:space="preserve">SA4: how far a candle may overlap the lines and still be 'clean'.</t>
  </si>
  <si>
    <t xml:space="preserve">MY INTERPRETATION. Check.</t>
  </si>
  <si>
    <t xml:space="preserve">Momentum window (SA4)</t>
  </si>
  <si>
    <t xml:space="preserve">2 candles</t>
  </si>
  <si>
    <t xml:space="preserve">SA4 waits this many candles for a reversal before entering.</t>
  </si>
  <si>
    <t xml:space="preserve">Charged on entry and on each exit leg. All exits modelled as market/stop orders.</t>
  </si>
  <si>
    <t xml:space="preserve">ASSUMED — never confirmed against your CoinDCX account. 0.059% would be 0.05% + 18% GST.</t>
  </si>
  <si>
    <t xml:space="preserve">Maker fee</t>
  </si>
  <si>
    <t xml:space="preserve">Not used: nothing is modelled as a resting limit order.</t>
  </si>
  <si>
    <t xml:space="preserve">Assumed</t>
  </si>
  <si>
    <t xml:space="preserve">Applied to every fill price (entry and exit). It is INSIDE the gross figure in my notebook.</t>
  </si>
  <si>
    <t xml:space="preserve">ASSUMED</t>
  </si>
  <si>
    <t xml:space="preserve">Funding (per 8h)</t>
  </si>
  <si>
    <t xml:space="preserve">Charged on hold time.</t>
  </si>
  <si>
    <t xml:space="preserve">ASSUMED (typical BTC perpetual)</t>
  </si>
  <si>
    <t xml:space="preserve">Maintenance margin</t>
  </si>
  <si>
    <t xml:space="preserve">Liquidation modelling only.</t>
  </si>
  <si>
    <t xml:space="preserve">Daily loss limit (₹)</t>
  </si>
  <si>
    <t xml:space="preserve">Stops trading for the day.</t>
  </si>
  <si>
    <t xml:space="preserve">MY safety rule, not yours</t>
  </si>
  <si>
    <t xml:space="preserve">Consecutive-loss halt</t>
  </si>
  <si>
    <t xml:space="preserve">4 losses -&gt; skip 1 day</t>
  </si>
  <si>
    <t xml:space="preserve">Streak counted across days.</t>
  </si>
  <si>
    <t xml:space="preserve">Contract spec</t>
  </si>
  <si>
    <t xml:space="preserve">Step 0.001 BTC, min 0.001, min notional 60 USDT, tick 0.1</t>
  </si>
  <si>
    <t xml:space="preserve">Read from CoinDCX itself.</t>
  </si>
  <si>
    <t xml:space="preserve">CoinDCX</t>
  </si>
  <si>
    <t xml:space="preserve">Data</t>
  </si>
  <si>
    <t xml:space="preserve">CoinDCX futures, 27,882 candles, 31 Dec 2025 18:00 IST -&gt; 18 Oct 2026 04:15 IST</t>
  </si>
  <si>
    <t xml:space="preserve">100% of expected candles, 0 gaps, 0 malformed.</t>
  </si>
  <si>
    <t xml:space="preserve">CoinDCX public API</t>
  </si>
  <si>
    <t xml:space="preserve">Date</t>
  </si>
  <si>
    <t xml:space="preserve">Day</t>
  </si>
  <si>
    <t xml:space="preserve">Session</t>
  </si>
  <si>
    <t xml:space="preserve">Sub-agent</t>
  </si>
  <si>
    <t xml:space="preserve">Side</t>
  </si>
  <si>
    <t xml:space="preserve">Entry time (IST)</t>
  </si>
  <si>
    <t xml:space="preserve">Entry price (after slippage)</t>
  </si>
  <si>
    <t xml:space="preserve">Stop price</t>
  </si>
  <si>
    <t xml:space="preserve">Exit time (IST)</t>
  </si>
  <si>
    <t xml:space="preserve">Exit price (after slippage)</t>
  </si>
  <si>
    <t xml:space="preserve">Exit reason</t>
  </si>
  <si>
    <t xml:space="preserve">Qty (BTC)</t>
  </si>
  <si>
    <t xml:space="preserve">Notional ₹</t>
  </si>
  <si>
    <t xml:space="preserve">Hours held</t>
  </si>
  <si>
    <t xml:space="preserve">Gross ₹ as run (after slippage)</t>
  </si>
  <si>
    <t xml:space="preserve">Fees ₹ as run</t>
  </si>
  <si>
    <t xml:space="preserve">Funding ₹ as run (derived)</t>
  </si>
  <si>
    <t xml:space="preserve">Gross ₹ before slippage</t>
  </si>
  <si>
    <t xml:space="preserve">Gross ₹ with YOUR slippage</t>
  </si>
  <si>
    <t xml:space="preserve">Fees ₹ with YOUR fee</t>
  </si>
  <si>
    <t xml:space="preserve">Funding ₹ with YOUR rate</t>
  </si>
  <si>
    <t xml:space="preserve">Month</t>
  </si>
  <si>
    <t xml:space="preserve">2025-12-31</t>
  </si>
  <si>
    <t xml:space="preserve">Wed</t>
  </si>
  <si>
    <t xml:space="preserve">2026-01-01</t>
  </si>
  <si>
    <t xml:space="preserve">Thu</t>
  </si>
  <si>
    <t xml:space="preserve">2026-01-02</t>
  </si>
  <si>
    <t xml:space="preserve">Fri</t>
  </si>
  <si>
    <t xml:space="preserve">2026-01-03</t>
  </si>
  <si>
    <t xml:space="preserve">Sat</t>
  </si>
  <si>
    <t xml:space="preserve">2026-01-04</t>
  </si>
  <si>
    <t xml:space="preserve">Sun</t>
  </si>
  <si>
    <t xml:space="preserve">2026-01-06</t>
  </si>
  <si>
    <t xml:space="preserve">Tue</t>
  </si>
  <si>
    <t xml:space="preserve">2026-01-09</t>
  </si>
  <si>
    <t xml:space="preserve">2026-01-11</t>
  </si>
  <si>
    <t xml:space="preserve">2026-01-12</t>
  </si>
  <si>
    <t xml:space="preserve">Mon</t>
  </si>
  <si>
    <t xml:space="preserve">2026-01-13</t>
  </si>
  <si>
    <t xml:space="preserve">2026-01-14</t>
  </si>
  <si>
    <t xml:space="preserve">2026-01-15</t>
  </si>
  <si>
    <t xml:space="preserve">2026-01-16</t>
  </si>
  <si>
    <t xml:space="preserve">2026-01-17</t>
  </si>
  <si>
    <t xml:space="preserve">2026-01-18</t>
  </si>
  <si>
    <t xml:space="preserve">2026-01-19</t>
  </si>
  <si>
    <t xml:space="preserve">2026-01-20</t>
  </si>
  <si>
    <t xml:space="preserve">2026-01-21</t>
  </si>
  <si>
    <t xml:space="preserve">2026-01-22</t>
  </si>
  <si>
    <t xml:space="preserve">2026-01-23</t>
  </si>
  <si>
    <t xml:space="preserve">2026-01-24</t>
  </si>
  <si>
    <t xml:space="preserve">2026-01-25</t>
  </si>
  <si>
    <t xml:space="preserve">2026-01-26</t>
  </si>
  <si>
    <t xml:space="preserve">2026-01-27</t>
  </si>
  <si>
    <t xml:space="preserve">2026-01-29</t>
  </si>
  <si>
    <t xml:space="preserve">2026-01-30</t>
  </si>
  <si>
    <t xml:space="preserve">2026-02-02</t>
  </si>
  <si>
    <t xml:space="preserve">2026-02-03</t>
  </si>
  <si>
    <t xml:space="preserve">2026-02-04</t>
  </si>
  <si>
    <t xml:space="preserve">2026-02-06</t>
  </si>
  <si>
    <t xml:space="preserve">2026-02-07</t>
  </si>
  <si>
    <t xml:space="preserve">2026-02-09</t>
  </si>
  <si>
    <t xml:space="preserve">2026-02-10</t>
  </si>
  <si>
    <t xml:space="preserve">2026-02-12</t>
  </si>
  <si>
    <t xml:space="preserve">2026-02-13</t>
  </si>
  <si>
    <t xml:space="preserve">2026-02-14</t>
  </si>
  <si>
    <t xml:space="preserve">2026-02-15</t>
  </si>
  <si>
    <t xml:space="preserve">2026-02-16</t>
  </si>
  <si>
    <t xml:space="preserve">2026-02-17</t>
  </si>
  <si>
    <t xml:space="preserve">2026-02-18</t>
  </si>
  <si>
    <t xml:space="preserve">2026-02-19</t>
  </si>
  <si>
    <t xml:space="preserve">2026-02-20</t>
  </si>
  <si>
    <t xml:space="preserve">2026-02-22</t>
  </si>
  <si>
    <t xml:space="preserve">2026-02-24</t>
  </si>
  <si>
    <t xml:space="preserve">2026-02-25</t>
  </si>
  <si>
    <t xml:space="preserve">2026-02-26</t>
  </si>
  <si>
    <t xml:space="preserve">2026-02-27</t>
  </si>
  <si>
    <t xml:space="preserve">2026-02-28</t>
  </si>
  <si>
    <t xml:space="preserve">2026-03-01</t>
  </si>
  <si>
    <t xml:space="preserve">2026-03-03</t>
  </si>
  <si>
    <t xml:space="preserve">2026-03-04</t>
  </si>
  <si>
    <t xml:space="preserve">2026-03-05</t>
  </si>
  <si>
    <t xml:space="preserve">2026-03-06</t>
  </si>
  <si>
    <t xml:space="preserve">2026-03-08</t>
  </si>
  <si>
    <t xml:space="preserve">2026-03-09</t>
  </si>
  <si>
    <t xml:space="preserve">2026-03-10</t>
  </si>
  <si>
    <t xml:space="preserve">2026-03-11</t>
  </si>
  <si>
    <t xml:space="preserve">2026-03-12</t>
  </si>
  <si>
    <t xml:space="preserve">2026-03-14</t>
  </si>
  <si>
    <t xml:space="preserve">2026-03-15</t>
  </si>
  <si>
    <t xml:space="preserve">2026-03-16</t>
  </si>
  <si>
    <t xml:space="preserve">2026-03-19</t>
  </si>
  <si>
    <t xml:space="preserve">2026-03-20</t>
  </si>
  <si>
    <t xml:space="preserve">2026-03-21</t>
  </si>
  <si>
    <t xml:space="preserve">2026-03-22</t>
  </si>
  <si>
    <t xml:space="preserve">2026-03-23</t>
  </si>
  <si>
    <t xml:space="preserve">2026-03-24</t>
  </si>
  <si>
    <t xml:space="preserve">2026-03-26</t>
  </si>
  <si>
    <t xml:space="preserve">2026-03-28</t>
  </si>
  <si>
    <t xml:space="preserve">2026-03-29</t>
  </si>
  <si>
    <t xml:space="preserve">2026-03-30</t>
  </si>
  <si>
    <t xml:space="preserve">2026-03-31</t>
  </si>
  <si>
    <t xml:space="preserve">2026-04-01</t>
  </si>
  <si>
    <t xml:space="preserve">2026-04-03</t>
  </si>
  <si>
    <t xml:space="preserve">2026-04-06</t>
  </si>
  <si>
    <t xml:space="preserve">2026-04-08</t>
  </si>
  <si>
    <t xml:space="preserve">2026-04-09</t>
  </si>
  <si>
    <t xml:space="preserve">2026-04-10</t>
  </si>
  <si>
    <t xml:space="preserve">2026-04-11</t>
  </si>
  <si>
    <t xml:space="preserve">2026-04-12</t>
  </si>
  <si>
    <t xml:space="preserve">2026-04-13</t>
  </si>
  <si>
    <t xml:space="preserve">2026-04-14</t>
  </si>
  <si>
    <t xml:space="preserve">2026-04-15</t>
  </si>
  <si>
    <t xml:space="preserve">2026-04-16</t>
  </si>
  <si>
    <t xml:space="preserve">2026-04-17</t>
  </si>
  <si>
    <t xml:space="preserve">2026-04-18</t>
  </si>
  <si>
    <t xml:space="preserve">2026-04-21</t>
  </si>
  <si>
    <t xml:space="preserve">2026-04-22</t>
  </si>
  <si>
    <t xml:space="preserve">2026-04-23</t>
  </si>
  <si>
    <t xml:space="preserve">2026-04-24</t>
  </si>
  <si>
    <t xml:space="preserve">2026-04-26</t>
  </si>
  <si>
    <t xml:space="preserve">2026-04-27</t>
  </si>
  <si>
    <t xml:space="preserve">2026-04-28</t>
  </si>
  <si>
    <t xml:space="preserve">2026-04-29</t>
  </si>
  <si>
    <t xml:space="preserve">2026-04-30</t>
  </si>
  <si>
    <t xml:space="preserve">2026-05-01</t>
  </si>
  <si>
    <t xml:space="preserve">2026-05-02</t>
  </si>
  <si>
    <t xml:space="preserve">2026-05-04</t>
  </si>
  <si>
    <t xml:space="preserve">2026-05-05</t>
  </si>
  <si>
    <t xml:space="preserve">2026-05-08</t>
  </si>
  <si>
    <t xml:space="preserve">2026-05-09</t>
  </si>
  <si>
    <t xml:space="preserve">2026-05-10</t>
  </si>
  <si>
    <t xml:space="preserve">2026-05-11</t>
  </si>
  <si>
    <t xml:space="preserve">2026-05-12</t>
  </si>
  <si>
    <t xml:space="preserve">2026-05-14</t>
  </si>
  <si>
    <t xml:space="preserve">2026-05-15</t>
  </si>
  <si>
    <t xml:space="preserve">2026-05-16</t>
  </si>
  <si>
    <t xml:space="preserve">2026-05-18</t>
  </si>
  <si>
    <t xml:space="preserve">2026-05-19</t>
  </si>
  <si>
    <t xml:space="preserve">2026-05-20</t>
  </si>
  <si>
    <t xml:space="preserve">2026-05-21</t>
  </si>
  <si>
    <t xml:space="preserve">2026-05-23</t>
  </si>
  <si>
    <t xml:space="preserve">2026-05-25</t>
  </si>
  <si>
    <t xml:space="preserve">2026-05-27</t>
  </si>
  <si>
    <t xml:space="preserve">2026-05-28</t>
  </si>
  <si>
    <t xml:space="preserve">2026-05-29</t>
  </si>
  <si>
    <t xml:space="preserve">2026-05-30</t>
  </si>
  <si>
    <t xml:space="preserve">2026-05-31</t>
  </si>
  <si>
    <t xml:space="preserve">2026-06-01</t>
  </si>
  <si>
    <t xml:space="preserve">2026-06-02</t>
  </si>
  <si>
    <t xml:space="preserve">2026-06-03</t>
  </si>
  <si>
    <t xml:space="preserve">2026-06-05</t>
  </si>
  <si>
    <t xml:space="preserve">2026-06-06</t>
  </si>
  <si>
    <t xml:space="preserve">2026-06-07</t>
  </si>
  <si>
    <t xml:space="preserve">2026-06-09</t>
  </si>
  <si>
    <t xml:space="preserve">2026-06-10</t>
  </si>
  <si>
    <t xml:space="preserve">2026-06-11</t>
  </si>
  <si>
    <t xml:space="preserve">2026-06-14</t>
  </si>
  <si>
    <t xml:space="preserve">2026-06-15</t>
  </si>
  <si>
    <t xml:space="preserve">2026-06-16</t>
  </si>
  <si>
    <t xml:space="preserve">2026-06-17</t>
  </si>
  <si>
    <t xml:space="preserve">2026-06-18</t>
  </si>
  <si>
    <t xml:space="preserve">2026-06-19</t>
  </si>
  <si>
    <t xml:space="preserve">2026-06-20</t>
  </si>
  <si>
    <t xml:space="preserve">2026-06-21</t>
  </si>
  <si>
    <t xml:space="preserve">2026-06-24</t>
  </si>
  <si>
    <t xml:space="preserve">2026-06-25</t>
  </si>
  <si>
    <t xml:space="preserve">2026-06-26</t>
  </si>
  <si>
    <t xml:space="preserve">2026-06-27</t>
  </si>
  <si>
    <t xml:space="preserve">2026-06-28</t>
  </si>
  <si>
    <t xml:space="preserve">2026-06-30</t>
  </si>
  <si>
    <t xml:space="preserve">2026-07-01</t>
  </si>
  <si>
    <t xml:space="preserve">2026-07-02</t>
  </si>
  <si>
    <t xml:space="preserve">2026-07-03</t>
  </si>
  <si>
    <t xml:space="preserve">2026-07-04</t>
  </si>
  <si>
    <t xml:space="preserve">2026-07-06</t>
  </si>
  <si>
    <t xml:space="preserve">2026-07-07</t>
  </si>
  <si>
    <t xml:space="preserve">2026-07-08</t>
  </si>
  <si>
    <t xml:space="preserve">2026-07-09</t>
  </si>
  <si>
    <t xml:space="preserve">2026-07-11</t>
  </si>
  <si>
    <t xml:space="preserve">2026-07-12</t>
  </si>
  <si>
    <t xml:space="preserve">2026-07-13</t>
  </si>
  <si>
    <t xml:space="preserve">2026-07-14</t>
  </si>
  <si>
    <t xml:space="preserve">2026-07-15</t>
  </si>
  <si>
    <t xml:space="preserve">2026-07-16</t>
  </si>
  <si>
    <t xml:space="preserve">2026-07-18</t>
  </si>
  <si>
    <t xml:space="preserve">2026-07-19</t>
  </si>
  <si>
    <t xml:space="preserve">2026-07-20</t>
  </si>
  <si>
    <t xml:space="preserve">2026-07-23</t>
  </si>
  <si>
    <t xml:space="preserve">2026-07-25</t>
  </si>
  <si>
    <t xml:space="preserve">2026-07-26</t>
  </si>
  <si>
    <t xml:space="preserve">2026-07-27</t>
  </si>
  <si>
    <t xml:space="preserve">2026-07-28</t>
  </si>
  <si>
    <t xml:space="preserve">2026-07-30</t>
  </si>
  <si>
    <t xml:space="preserve">2026-07-31</t>
  </si>
  <si>
    <t xml:space="preserve">2026-08-01</t>
  </si>
  <si>
    <t xml:space="preserve">2026-08-02</t>
  </si>
  <si>
    <t xml:space="preserve">2026-08-03</t>
  </si>
  <si>
    <t xml:space="preserve">2026-08-04</t>
  </si>
  <si>
    <t xml:space="preserve">2026-08-06</t>
  </si>
  <si>
    <t xml:space="preserve">2026-08-07</t>
  </si>
  <si>
    <t xml:space="preserve">2026-08-08</t>
  </si>
  <si>
    <t xml:space="preserve">2026-08-10</t>
  </si>
  <si>
    <t xml:space="preserve">2026-08-11</t>
  </si>
  <si>
    <t xml:space="preserve">2026-08-13</t>
  </si>
  <si>
    <t xml:space="preserve">2026-08-14</t>
  </si>
  <si>
    <t xml:space="preserve">2026-08-15</t>
  </si>
  <si>
    <t xml:space="preserve">2026-08-16</t>
  </si>
  <si>
    <t xml:space="preserve">2026-08-18</t>
  </si>
  <si>
    <t xml:space="preserve">2026-08-20</t>
  </si>
  <si>
    <t xml:space="preserve">2026-08-21</t>
  </si>
  <si>
    <t xml:space="preserve">2026-08-22</t>
  </si>
  <si>
    <t xml:space="preserve">2026-08-23</t>
  </si>
  <si>
    <t xml:space="preserve">2026-08-24</t>
  </si>
  <si>
    <t xml:space="preserve">2026-08-25</t>
  </si>
  <si>
    <t xml:space="preserve">2026-08-26</t>
  </si>
  <si>
    <t xml:space="preserve">2026-08-27</t>
  </si>
  <si>
    <t xml:space="preserve">2026-08-28</t>
  </si>
  <si>
    <t xml:space="preserve">2026-08-29</t>
  </si>
  <si>
    <t xml:space="preserve">2026-08-31</t>
  </si>
  <si>
    <t xml:space="preserve">2026-09-02</t>
  </si>
  <si>
    <t xml:space="preserve">2026-09-03</t>
  </si>
  <si>
    <t xml:space="preserve">2026-09-04</t>
  </si>
  <si>
    <t xml:space="preserve">2026-09-05</t>
  </si>
  <si>
    <t xml:space="preserve">2026-09-06</t>
  </si>
  <si>
    <t xml:space="preserve">2026-09-07</t>
  </si>
  <si>
    <t xml:space="preserve">2026-09-08</t>
  </si>
  <si>
    <t xml:space="preserve">2026-09-09</t>
  </si>
  <si>
    <t xml:space="preserve">2026-09-13</t>
  </si>
  <si>
    <t xml:space="preserve">2026-09-14</t>
  </si>
  <si>
    <t xml:space="preserve">2026-09-16</t>
  </si>
  <si>
    <t xml:space="preserve">2026-09-18</t>
  </si>
  <si>
    <t xml:space="preserve">2026-09-19</t>
  </si>
  <si>
    <t xml:space="preserve">2026-09-20</t>
  </si>
  <si>
    <t xml:space="preserve">2026-09-23</t>
  </si>
  <si>
    <t xml:space="preserve">2026-09-24</t>
  </si>
  <si>
    <t xml:space="preserve">2026-09-27</t>
  </si>
  <si>
    <t xml:space="preserve">2026-09-28</t>
  </si>
  <si>
    <t xml:space="preserve">2026-09-29</t>
  </si>
  <si>
    <t xml:space="preserve">2026-09-30</t>
  </si>
  <si>
    <t xml:space="preserve">2026-10-01</t>
  </si>
  <si>
    <t xml:space="preserve">2026-10-04</t>
  </si>
  <si>
    <t xml:space="preserve">2026-10-05</t>
  </si>
  <si>
    <t xml:space="preserve">2026-10-06</t>
  </si>
  <si>
    <t xml:space="preserve">2026-10-07</t>
  </si>
  <si>
    <t xml:space="preserve">2026-10-08</t>
  </si>
  <si>
    <t xml:space="preserve">2026-10-09</t>
  </si>
  <si>
    <t xml:space="preserve">2026-10-11</t>
  </si>
  <si>
    <t xml:space="preserve">2026-10-12</t>
  </si>
  <si>
    <t xml:space="preserve">2026-10-15</t>
  </si>
  <si>
    <t xml:space="preserve">2026-10-16</t>
  </si>
  <si>
    <t xml:space="preserve">date</t>
  </si>
  <si>
    <t xml:space="preserve">session</t>
  </si>
  <si>
    <t xml:space="preserve">range_high</t>
  </si>
  <si>
    <t xml:space="preserve">range_low</t>
  </si>
  <si>
    <t xml:space="preserve">range_pct</t>
  </si>
  <si>
    <t xml:space="preserve">sub_agent</t>
  </si>
  <si>
    <t xml:space="preserve">setup</t>
  </si>
  <si>
    <t xml:space="preserve">direction</t>
  </si>
  <si>
    <t xml:space="preserve">breakout</t>
  </si>
  <si>
    <t xml:space="preserve">rejection</t>
  </si>
  <si>
    <t xml:space="preserve">momentum_shift</t>
  </si>
  <si>
    <t xml:space="preserve">tp</t>
  </si>
  <si>
    <t xml:space="preserve">action</t>
  </si>
  <si>
    <t xml:space="preserve">reason</t>
  </si>
  <si>
    <t xml:space="preserve">entry</t>
  </si>
  <si>
    <t xml:space="preserve">sl</t>
  </si>
  <si>
    <t xml:space="preserve">pnl_inr</t>
  </si>
  <si>
    <t xml:space="preserve">exit_reason</t>
  </si>
  <si>
    <t xml:space="preserve">Second-candle clear breakout</t>
  </si>
  <si>
    <t xml:space="preserve">trail/partial</t>
  </si>
  <si>
    <t xml:space="preserve">ENTER</t>
  </si>
  <si>
    <t xml:space="preserve">second candle closed above the high (strength 51%)</t>
  </si>
  <si>
    <t xml:space="preserve">Line tap / rejection at the HIGH</t>
  </si>
  <si>
    <t xml:space="preserve">1 tap(s) of the high, rejected by doji_at_high</t>
  </si>
  <si>
    <t xml:space="preserve">-</t>
  </si>
  <si>
    <t xml:space="preserve">no setup</t>
  </si>
  <si>
    <t xml:space="preserve">AVOID</t>
  </si>
  <si>
    <t xml:space="preserve">No sub-agent condition met this session</t>
  </si>
  <si>
    <t xml:space="preserve">2 tap(s) of the high, rejected by upper_wick_rejection</t>
  </si>
  <si>
    <t xml:space="preserve">Clean breakout, candle not touching the marked lines</t>
  </si>
  <si>
    <t xml:space="preserve">no reversal candle in the momentum window</t>
  </si>
  <si>
    <t xml:space="preserve">2026-01-05</t>
  </si>
  <si>
    <t xml:space="preserve">Halted after a losing streak</t>
  </si>
  <si>
    <t xml:space="preserve">Line tap / rejection at the LOW</t>
  </si>
  <si>
    <t xml:space="preserve">1 tap(s) of the low, rejected by lower_wick_rejection</t>
  </si>
  <si>
    <t xml:space="preserve">2026-01-07</t>
  </si>
  <si>
    <t xml:space="preserve">2026-01-08</t>
  </si>
  <si>
    <t xml:space="preserve">second candle closed below the low (strength 65%)</t>
  </si>
  <si>
    <t xml:space="preserve">2026-01-10</t>
  </si>
  <si>
    <t xml:space="preserve">1 tap(s) of the low, rejected by bullish_close_at_low</t>
  </si>
  <si>
    <t xml:space="preserve">second candle closed below the low (strength 61%)</t>
  </si>
  <si>
    <t xml:space="preserve">1 tap(s) of the low, rejected by doji_at_low</t>
  </si>
  <si>
    <t xml:space="preserve">second candle closed above the high (strength 63%, fully clear)</t>
  </si>
  <si>
    <t xml:space="preserve">1 tap(s) of the high, rejected by upper_wick_rejection</t>
  </si>
  <si>
    <t xml:space="preserve">second candle closed below the low (strength 39%, fully clear)</t>
  </si>
  <si>
    <t xml:space="preserve">second candle closed above the high (strength 60%)</t>
  </si>
  <si>
    <t xml:space="preserve">1 tap(s) of the high, rejected by bearish_close_at_high</t>
  </si>
  <si>
    <t xml:space="preserve">second candle closed below the low (strength 83%, fully clear)</t>
  </si>
  <si>
    <t xml:space="preserve">second candle closed below the low (strength 67%, fully clear)</t>
  </si>
  <si>
    <t xml:space="preserve">second candle closed above the high (strength 40%, fully clear)</t>
  </si>
  <si>
    <t xml:space="preserve">2 tap(s) of the high, rejected by bearish_close_at_high</t>
  </si>
  <si>
    <t xml:space="preserve">second candle closed below the low (strength 90%, fully clear)</t>
  </si>
  <si>
    <t xml:space="preserve">2026-01-28</t>
  </si>
  <si>
    <t xml:space="preserve">2 tap(s) of the high, rejected by doji_at_high</t>
  </si>
  <si>
    <t xml:space="preserve">2026-01-31</t>
  </si>
  <si>
    <t xml:space="preserve">2026-02-01</t>
  </si>
  <si>
    <t xml:space="preserve">2026-02-05</t>
  </si>
  <si>
    <t xml:space="preserve">2 tap(s) of the low, rejected by lower_wick_rejection</t>
  </si>
  <si>
    <t xml:space="preserve">2026-02-08</t>
  </si>
  <si>
    <t xml:space="preserve">second candle closed below the low (strength 79%)</t>
  </si>
  <si>
    <t xml:space="preserve">2026-02-11</t>
  </si>
  <si>
    <t xml:space="preserve">2026-02-21</t>
  </si>
  <si>
    <t xml:space="preserve">2 tap(s) of the low, rejected by doji_at_low</t>
  </si>
  <si>
    <t xml:space="preserve">2026-02-23</t>
  </si>
  <si>
    <t xml:space="preserve">second candle closed below the low (strength 77%, fully clear)</t>
  </si>
  <si>
    <t xml:space="preserve">second candle closed above the high (strength 64%, fully clear)</t>
  </si>
  <si>
    <t xml:space="preserve">second candle closed above the high (strength 86%, fully clear)</t>
  </si>
  <si>
    <t xml:space="preserve">second candle closed above the high (strength 54%, fully clear)</t>
  </si>
  <si>
    <t xml:space="preserve">2026-03-02</t>
  </si>
  <si>
    <t xml:space="preserve">second candle closed above the high (strength 57%)</t>
  </si>
  <si>
    <t xml:space="preserve">second candle closed below the low (strength 64%)</t>
  </si>
  <si>
    <t xml:space="preserve">2026-03-07</t>
  </si>
  <si>
    <t xml:space="preserve">2026-03-13</t>
  </si>
  <si>
    <t xml:space="preserve">2026-03-17</t>
  </si>
  <si>
    <t xml:space="preserve">2026-03-18</t>
  </si>
  <si>
    <t xml:space="preserve">second candle closed below the low (strength 34%, fully clear)</t>
  </si>
  <si>
    <t xml:space="preserve">3 tap(s) of the high, rejected by doji_at_high</t>
  </si>
  <si>
    <t xml:space="preserve">second candle closed above the high (strength 56%)</t>
  </si>
  <si>
    <t xml:space="preserve">2026-03-25</t>
  </si>
  <si>
    <t xml:space="preserve">second candle closed above the high (strength 24%, fully clear)</t>
  </si>
  <si>
    <t xml:space="preserve">2026-03-27</t>
  </si>
  <si>
    <t xml:space="preserve">second candle closed above the high (strength 68%)</t>
  </si>
  <si>
    <t xml:space="preserve">second candle closed below the low (strength 63%)</t>
  </si>
  <si>
    <t xml:space="preserve">2026-04-02</t>
  </si>
  <si>
    <t xml:space="preserve">2 tap(s) of the low, rejected by bullish_close_at_low</t>
  </si>
  <si>
    <t xml:space="preserve">2026-04-04</t>
  </si>
  <si>
    <t xml:space="preserve">2026-04-05</t>
  </si>
  <si>
    <t xml:space="preserve">2026-04-07</t>
  </si>
  <si>
    <t xml:space="preserve">second candle closed below the low (strength 55%)</t>
  </si>
  <si>
    <t xml:space="preserve">second candle closed below the low (strength 57%, fully clear)</t>
  </si>
  <si>
    <t xml:space="preserve">second candle closed below the low (strength 52%, fully clear)</t>
  </si>
  <si>
    <t xml:space="preserve">second candle closed above the high (strength 52%)</t>
  </si>
  <si>
    <t xml:space="preserve">2026-04-19</t>
  </si>
  <si>
    <t xml:space="preserve">2026-04-20</t>
  </si>
  <si>
    <t xml:space="preserve">2026-04-25</t>
  </si>
  <si>
    <t xml:space="preserve">second candle closed above the high (strength 67%)</t>
  </si>
  <si>
    <t xml:space="preserve">second candle closed above the high (strength 65%)</t>
  </si>
  <si>
    <t xml:space="preserve">second candle closed above the high (strength 54%)</t>
  </si>
  <si>
    <t xml:space="preserve">2026-05-03</t>
  </si>
  <si>
    <t xml:space="preserve">second candle closed below the low (strength 75%, fully clear)</t>
  </si>
  <si>
    <t xml:space="preserve">2026-05-06</t>
  </si>
  <si>
    <t xml:space="preserve">2026-05-07</t>
  </si>
  <si>
    <t xml:space="preserve">second candle closed below the low (strength 50%)</t>
  </si>
  <si>
    <t xml:space="preserve">2026-05-13</t>
  </si>
  <si>
    <t xml:space="preserve">second candle closed below the low (strength 53%)</t>
  </si>
  <si>
    <t xml:space="preserve">2026-05-17</t>
  </si>
  <si>
    <t xml:space="preserve">second candle closed above the high (strength 84%, fully clear)</t>
  </si>
  <si>
    <t xml:space="preserve">2026-05-22</t>
  </si>
  <si>
    <t xml:space="preserve">second candle closed below the low (strength 51%, fully clear)</t>
  </si>
  <si>
    <t xml:space="preserve">second candle closed above the high (strength 55%)</t>
  </si>
  <si>
    <t xml:space="preserve">2026-05-24</t>
  </si>
  <si>
    <t xml:space="preserve">2026-05-26</t>
  </si>
  <si>
    <t xml:space="preserve">2026-06-04</t>
  </si>
  <si>
    <t xml:space="preserve">second candle closed below the low (strength 81%)</t>
  </si>
  <si>
    <t xml:space="preserve">2026-06-08</t>
  </si>
  <si>
    <t xml:space="preserve">second candle closed above the high (strength 37%, fully clear)</t>
  </si>
  <si>
    <t xml:space="preserve">2026-06-12</t>
  </si>
  <si>
    <t xml:space="preserve">2026-06-13</t>
  </si>
  <si>
    <t xml:space="preserve">second candle closed above the high (strength 20%, fully clear)</t>
  </si>
  <si>
    <t xml:space="preserve">3 tap(s) of the low, rejected by lower_wick_rejection</t>
  </si>
  <si>
    <t xml:space="preserve">2026-06-22</t>
  </si>
  <si>
    <t xml:space="preserve">2026-06-23</t>
  </si>
  <si>
    <t xml:space="preserve">Size below the exchange minimum (qty / notional)</t>
  </si>
  <si>
    <t xml:space="preserve">second candle closed above the high (strength 74%)</t>
  </si>
  <si>
    <t xml:space="preserve">second candle closed above the high (strength 58%)</t>
  </si>
  <si>
    <t xml:space="preserve">2026-06-29</t>
  </si>
  <si>
    <t xml:space="preserve">second candle closed above the high (strength 71%)</t>
  </si>
  <si>
    <t xml:space="preserve">2026-07-05</t>
  </si>
  <si>
    <t xml:space="preserve">second candle closed above the high (strength 25%, fully clear)</t>
  </si>
  <si>
    <t xml:space="preserve">2026-07-10</t>
  </si>
  <si>
    <t xml:space="preserve">second candle closed below the low (strength 54%, fully clear)</t>
  </si>
  <si>
    <t xml:space="preserve">second candle closed below the low (strength 31%, fully clear)</t>
  </si>
  <si>
    <t xml:space="preserve">2026-07-17</t>
  </si>
  <si>
    <t xml:space="preserve">2026-07-21</t>
  </si>
  <si>
    <t xml:space="preserve">2026-07-22</t>
  </si>
  <si>
    <t xml:space="preserve">2026-07-24</t>
  </si>
  <si>
    <t xml:space="preserve">2026-07-29</t>
  </si>
  <si>
    <t xml:space="preserve">second candle closed below the low (strength 25%, fully clear)</t>
  </si>
  <si>
    <t xml:space="preserve">2026-08-05</t>
  </si>
  <si>
    <t xml:space="preserve">2026-08-09</t>
  </si>
  <si>
    <t xml:space="preserve">second candle closed below the low (strength 69%)</t>
  </si>
  <si>
    <t xml:space="preserve">2026-08-12</t>
  </si>
  <si>
    <t xml:space="preserve">second candle closed below the low (strength 48%, fully clear)</t>
  </si>
  <si>
    <t xml:space="preserve">3 tap(s) of the low, rejected by bullish_close_at_low</t>
  </si>
  <si>
    <t xml:space="preserve">2026-08-17</t>
  </si>
  <si>
    <t xml:space="preserve">second candle closed below the low (strength 46%, fully clear)</t>
  </si>
  <si>
    <t xml:space="preserve">2026-08-19</t>
  </si>
  <si>
    <t xml:space="preserve">second candle closed above the high (strength 59%)</t>
  </si>
  <si>
    <t xml:space="preserve">second candle closed below the low (strength 65%, fully clear)</t>
  </si>
  <si>
    <t xml:space="preserve">second candle closed above the high (strength 78%, fully clear)</t>
  </si>
  <si>
    <t xml:space="preserve">3 tap(s) of the high, rejected by bearish_close_at_high</t>
  </si>
  <si>
    <t xml:space="preserve">2026-08-30</t>
  </si>
  <si>
    <t xml:space="preserve">2026-09-01</t>
  </si>
  <si>
    <t xml:space="preserve">second candle closed below the low (strength 59%)</t>
  </si>
  <si>
    <t xml:space="preserve">second candle closed below the low (strength 57%)</t>
  </si>
  <si>
    <t xml:space="preserve">second candle closed below the low (strength 58%)</t>
  </si>
  <si>
    <t xml:space="preserve">4 tap(s) of the low, rejected by lower_wick_rejection</t>
  </si>
  <si>
    <t xml:space="preserve">reversal candle formed but the next candle did not confirm — momentum held</t>
  </si>
  <si>
    <t xml:space="preserve">2026-09-10</t>
  </si>
  <si>
    <t xml:space="preserve">2026-09-11</t>
  </si>
  <si>
    <t xml:space="preserve">2026-09-12</t>
  </si>
  <si>
    <t xml:space="preserve">second candle closed above the high (strength 47%, fully clear)</t>
  </si>
  <si>
    <t xml:space="preserve">2026-09-15</t>
  </si>
  <si>
    <t xml:space="preserve">2026-09-17</t>
  </si>
  <si>
    <t xml:space="preserve">second candle closed above the high (strength 58%, fully clear)</t>
  </si>
  <si>
    <t xml:space="preserve">2026-09-21</t>
  </si>
  <si>
    <t xml:space="preserve">2026-09-22</t>
  </si>
  <si>
    <t xml:space="preserve">2026-09-25</t>
  </si>
  <si>
    <t xml:space="preserve">2026-09-26</t>
  </si>
  <si>
    <t xml:space="preserve">2026-10-02</t>
  </si>
  <si>
    <t xml:space="preserve">2026-10-03</t>
  </si>
  <si>
    <t xml:space="preserve">second candle closed above the high (strength 100%, fully clear)</t>
  </si>
  <si>
    <t xml:space="preserve">second candle closed above the high (strength 39%, fully clear)</t>
  </si>
  <si>
    <t xml:space="preserve">2026-10-10</t>
  </si>
  <si>
    <t xml:space="preserve">2026-10-13</t>
  </si>
  <si>
    <t xml:space="preserve">2026-10-14</t>
  </si>
  <si>
    <t xml:space="preserve">2026-10-17</t>
  </si>
  <si>
    <t xml:space="preserve">Exact re-runs of the engine (notebook cell 7). Each row changes ONE setting; fee rows also change which trades occur.</t>
  </si>
  <si>
    <t xml:space="preserve">Variant</t>
  </si>
  <si>
    <t xml:space="preserve">trades</t>
  </si>
  <si>
    <t xml:space="preserve">win</t>
  </si>
  <si>
    <t xml:space="preserve">gross_inr</t>
  </si>
  <si>
    <t xml:space="preserve">net_inr</t>
  </si>
  <si>
    <t xml:space="preserve">cost_inr</t>
  </si>
  <si>
    <t xml:space="preserve">PF</t>
  </si>
  <si>
    <t xml:space="preserve">exp_inr</t>
  </si>
  <si>
    <t xml:space="preserve">avg_R</t>
  </si>
  <si>
    <t xml:space="preserve">avg_risk_inr</t>
  </si>
  <si>
    <t xml:space="preserve">cost_in_R</t>
  </si>
  <si>
    <t xml:space="preserve">maxDD</t>
  </si>
  <si>
    <t xml:space="preserve">t_gross</t>
  </si>
  <si>
    <t xml:space="preserve">t_net</t>
  </si>
  <si>
    <t xml:space="preserve">FINAL (as run above)</t>
  </si>
  <si>
    <t xml:space="preserve">61.5%</t>
  </si>
  <si>
    <t xml:space="preserve">SA2 stop buffer 0.15%</t>
  </si>
  <si>
    <t xml:space="preserve">45.7%</t>
  </si>
  <si>
    <t xml:space="preserve">SA2 stop buffer 0.30%</t>
  </si>
  <si>
    <t xml:space="preserve">60.5%</t>
  </si>
  <si>
    <t xml:space="preserve">SA2 stop buffer 0.60%</t>
  </si>
  <si>
    <t xml:space="preserve">58.4%</t>
  </si>
  <si>
    <t xml:space="preserve">SA4 momentum window 1</t>
  </si>
  <si>
    <t xml:space="preserve">SA4 momentum window 3</t>
  </si>
  <si>
    <t xml:space="preserve">61.8%</t>
  </si>
  <si>
    <t xml:space="preserve">circuit breakers OFF</t>
  </si>
  <si>
    <t xml:space="preserve">taker fee 0.040%</t>
  </si>
  <si>
    <t xml:space="preserve">63.8%</t>
  </si>
  <si>
    <t xml:space="preserve">taker fee 0.020%</t>
  </si>
  <si>
    <t xml:space="preserve">64.1%</t>
  </si>
</sst>
</file>

<file path=xl/styles.xml><?xml version="1.0" encoding="utf-8"?>
<styleSheet xmlns="http://schemas.openxmlformats.org/spreadsheetml/2006/main">
  <numFmts count="13">
    <numFmt numFmtId="164" formatCode="General"/>
    <numFmt numFmtId="165" formatCode="0.0000%"/>
    <numFmt numFmtId="166" formatCode="0"/>
    <numFmt numFmtId="167" formatCode="#,##0;\(#,##0\);\-"/>
    <numFmt numFmtId="168" formatCode="#,##0.0;\(#,##0.0\);\-"/>
    <numFmt numFmtId="169" formatCode="0.0%"/>
    <numFmt numFmtId="170" formatCode="0.00"/>
    <numFmt numFmtId="171" formatCode="0.0000"/>
    <numFmt numFmtId="172" formatCode="yyyy\-mm\-dd\ hh:mm"/>
    <numFmt numFmtId="173" formatCode="#,##0.00"/>
    <numFmt numFmtId="174" formatCode="0.000"/>
    <numFmt numFmtId="175" formatCode="#,##0.0"/>
    <numFmt numFmtId="176" formatCode="General"/>
  </numFmts>
  <fonts count="12">
    <font>
      <sz val="11"/>
      <color theme="1"/>
      <name val="Calibri"/>
      <family val="2"/>
      <charset val="1"/>
    </font>
    <font>
      <sz val="10"/>
      <name val="Arial"/>
      <family val="0"/>
    </font>
    <font>
      <sz val="10"/>
      <name val="Arial"/>
      <family val="0"/>
    </font>
    <font>
      <sz val="10"/>
      <name val="Arial"/>
      <family val="0"/>
    </font>
    <font>
      <b val="true"/>
      <sz val="12"/>
      <name val="Arial"/>
      <family val="0"/>
      <charset val="1"/>
    </font>
    <font>
      <sz val="10"/>
      <name val="Arial"/>
      <family val="0"/>
      <charset val="1"/>
    </font>
    <font>
      <b val="true"/>
      <sz val="10"/>
      <name val="Arial"/>
      <family val="0"/>
      <charset val="1"/>
    </font>
    <font>
      <i val="true"/>
      <sz val="10"/>
      <name val="Arial"/>
      <family val="0"/>
      <charset val="1"/>
    </font>
    <font>
      <b val="true"/>
      <sz val="10"/>
      <color rgb="FFFFFFFF"/>
      <name val="Arial"/>
      <family val="0"/>
      <charset val="1"/>
    </font>
    <font>
      <b val="true"/>
      <sz val="10"/>
      <color rgb="FF0000FF"/>
      <name val="Arial"/>
      <family val="0"/>
      <charset val="1"/>
    </font>
    <font>
      <b val="true"/>
      <sz val="11"/>
      <name val="Arial"/>
      <family val="0"/>
      <charset val="1"/>
    </font>
    <font>
      <sz val="10"/>
      <color rgb="FF0000FF"/>
      <name val="Arial"/>
      <family val="0"/>
      <charset val="1"/>
    </font>
  </fonts>
  <fills count="6">
    <fill>
      <patternFill patternType="none"/>
    </fill>
    <fill>
      <patternFill patternType="gray125"/>
    </fill>
    <fill>
      <patternFill patternType="solid">
        <fgColor rgb="FF1F3864"/>
        <bgColor rgb="FF333333"/>
      </patternFill>
    </fill>
    <fill>
      <patternFill patternType="solid">
        <fgColor rgb="FFFFFF00"/>
        <bgColor rgb="FFFFFF00"/>
      </patternFill>
    </fill>
    <fill>
      <patternFill patternType="solid">
        <fgColor rgb="FFF2F2F2"/>
        <bgColor rgb="FFFFFFFF"/>
      </patternFill>
    </fill>
    <fill>
      <patternFill patternType="solid">
        <fgColor rgb="FFFCE4D6"/>
        <bgColor rgb="FFF2F2F2"/>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true" applyProtection="false">
      <alignment horizontal="center" vertical="center"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9" fillId="3"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7"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7" fontId="6" fillId="0" borderId="0" xfId="0" applyFont="true" applyBorder="false" applyAlignment="false" applyProtection="false">
      <alignment horizontal="general" vertical="bottom" textRotation="0" wrapText="false" indent="0" shrinkToFit="false"/>
      <protection locked="true" hidden="false"/>
    </xf>
    <xf numFmtId="168" fontId="5" fillId="0" borderId="0" xfId="0" applyFont="true" applyBorder="false" applyAlignment="false" applyProtection="false">
      <alignment horizontal="general" vertical="bottom" textRotation="0" wrapText="false" indent="0" shrinkToFit="false"/>
      <protection locked="true" hidden="false"/>
    </xf>
    <xf numFmtId="169" fontId="5" fillId="0" borderId="0" xfId="0" applyFont="true" applyBorder="false" applyAlignment="false" applyProtection="false">
      <alignment horizontal="general" vertical="bottom" textRotation="0" wrapText="false" indent="0" shrinkToFit="false"/>
      <protection locked="true" hidden="false"/>
    </xf>
    <xf numFmtId="170" fontId="5"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5" fontId="9" fillId="3" borderId="0" xfId="0" applyFont="true" applyBorder="false" applyAlignment="true" applyProtection="false">
      <alignment horizontal="left" vertical="bottom" textRotation="0" wrapText="false" indent="0" shrinkToFit="false"/>
      <protection locked="true" hidden="false"/>
    </xf>
    <xf numFmtId="164" fontId="6" fillId="4" borderId="0" xfId="0" applyFont="true" applyBorder="false" applyAlignment="false" applyProtection="false">
      <alignment horizontal="general"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xf numFmtId="164" fontId="5" fillId="5" borderId="0" xfId="0" applyFont="true" applyBorder="false" applyAlignment="true" applyProtection="false">
      <alignment horizontal="general" vertical="top" textRotation="0" wrapText="true" indent="0" shrinkToFit="false"/>
      <protection locked="true" hidden="false"/>
    </xf>
    <xf numFmtId="171" fontId="11" fillId="0" borderId="0" xfId="0" applyFont="true" applyBorder="false" applyAlignment="true" applyProtection="false">
      <alignment horizontal="general" vertical="top" textRotation="0" wrapText="true" indent="0" shrinkToFit="false"/>
      <protection locked="true" hidden="false"/>
    </xf>
    <xf numFmtId="165" fontId="11" fillId="0" borderId="0" xfId="0" applyFont="true" applyBorder="false" applyAlignment="true" applyProtection="false">
      <alignment horizontal="general" vertical="top" textRotation="0" wrapText="true" indent="0" shrinkToFit="false"/>
      <protection locked="true" hidden="false"/>
    </xf>
    <xf numFmtId="172" fontId="5" fillId="0" borderId="0" xfId="0" applyFont="true" applyBorder="false" applyAlignment="false" applyProtection="false">
      <alignment horizontal="general" vertical="bottom" textRotation="0" wrapText="false" indent="0" shrinkToFit="false"/>
      <protection locked="true" hidden="false"/>
    </xf>
    <xf numFmtId="173" fontId="5" fillId="0" borderId="0" xfId="0" applyFont="true" applyBorder="false" applyAlignment="false" applyProtection="false">
      <alignment horizontal="general" vertical="bottom" textRotation="0" wrapText="false" indent="0" shrinkToFit="false"/>
      <protection locked="true" hidden="false"/>
    </xf>
    <xf numFmtId="174" fontId="5" fillId="0" borderId="0" xfId="0" applyFont="true" applyBorder="false" applyAlignment="false" applyProtection="false">
      <alignment horizontal="general" vertical="bottom" textRotation="0" wrapText="false" indent="0" shrinkToFit="false"/>
      <protection locked="true" hidden="false"/>
    </xf>
    <xf numFmtId="175" fontId="5" fillId="0" borderId="0" xfId="0" applyFont="true" applyBorder="false" applyAlignment="false" applyProtection="false">
      <alignment horizontal="general" vertical="bottom" textRotation="0" wrapText="false" indent="0" shrinkToFit="false"/>
      <protection locked="true" hidden="false"/>
    </xf>
    <xf numFmtId="176"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bgColor rgb="FFC6EFCE"/>
        </patternFill>
      </fill>
    </dxf>
    <dxf>
      <fill>
        <patternFill>
          <bgColor rgb="FFFFC7CE"/>
        </patternFill>
      </fill>
    </dxf>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CE4D6"/>
      <rgbColor rgb="FF99CCFF"/>
      <rgbColor rgb="FFFF99CC"/>
      <rgbColor rgb="FFCC99FF"/>
      <rgbColor rgb="FFFFC7CE"/>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_rels/sheet6.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50"/>
  </cols>
  <sheetData>
    <row r="1" customFormat="false" ht="15" hidden="false" customHeight="false" outlineLevel="0" collapsed="false">
      <c r="A1" s="1" t="s">
        <v>0</v>
      </c>
    </row>
    <row r="2" customFormat="false" ht="15" hidden="false" customHeight="false" outlineLevel="0" collapsed="false">
      <c r="A2" s="2"/>
    </row>
    <row r="3" customFormat="false" ht="15" hidden="false" customHeight="false" outlineLevel="0" collapsed="false">
      <c r="A3" s="3" t="s">
        <v>1</v>
      </c>
    </row>
    <row r="4" customFormat="false" ht="15" hidden="false" customHeight="false" outlineLevel="0" collapsed="false">
      <c r="A4" s="2" t="s">
        <v>2</v>
      </c>
    </row>
    <row r="5" customFormat="false" ht="15" hidden="false" customHeight="false" outlineLevel="0" collapsed="false">
      <c r="A5" s="2" t="s">
        <v>3</v>
      </c>
    </row>
    <row r="6" customFormat="false" ht="15" hidden="false" customHeight="false" outlineLevel="0" collapsed="false">
      <c r="A6" s="2" t="s">
        <v>4</v>
      </c>
    </row>
    <row r="7" customFormat="false" ht="15" hidden="false" customHeight="false" outlineLevel="0" collapsed="false">
      <c r="A7" s="2" t="s">
        <v>5</v>
      </c>
    </row>
    <row r="8" customFormat="false" ht="15" hidden="false" customHeight="false" outlineLevel="0" collapsed="false">
      <c r="A8" s="2" t="s">
        <v>6</v>
      </c>
    </row>
    <row r="9" customFormat="false" ht="15" hidden="false" customHeight="false" outlineLevel="0" collapsed="false">
      <c r="A9" s="2" t="s">
        <v>7</v>
      </c>
    </row>
    <row r="10" customFormat="false" ht="15" hidden="false" customHeight="false" outlineLevel="0" collapsed="false">
      <c r="A10" s="2"/>
    </row>
    <row r="11" customFormat="false" ht="15" hidden="false" customHeight="false" outlineLevel="0" collapsed="false">
      <c r="A11" s="3" t="s">
        <v>8</v>
      </c>
    </row>
    <row r="12" customFormat="false" ht="23.85" hidden="false" customHeight="false" outlineLevel="0" collapsed="false">
      <c r="A12" s="2" t="s">
        <v>9</v>
      </c>
    </row>
    <row r="13" customFormat="false" ht="35.05" hidden="false" customHeight="false" outlineLevel="0" collapsed="false">
      <c r="A13" s="2" t="s">
        <v>10</v>
      </c>
    </row>
    <row r="14" customFormat="false" ht="15" hidden="false" customHeight="false" outlineLevel="0" collapsed="false">
      <c r="A14" s="2"/>
    </row>
    <row r="15" customFormat="false" ht="15" hidden="false" customHeight="false" outlineLevel="0" collapsed="false">
      <c r="A15" s="3" t="s">
        <v>11</v>
      </c>
    </row>
    <row r="16" customFormat="false" ht="15" hidden="false" customHeight="false" outlineLevel="0" collapsed="false">
      <c r="A16" s="2" t="s">
        <v>12</v>
      </c>
    </row>
    <row r="17" customFormat="false" ht="15" hidden="false" customHeight="false" outlineLevel="0" collapsed="false">
      <c r="A17" s="2" t="s">
        <v>13</v>
      </c>
    </row>
    <row r="18" customFormat="false" ht="15" hidden="false" customHeight="false" outlineLevel="0" collapsed="false">
      <c r="A18" s="2" t="s">
        <v>14</v>
      </c>
    </row>
    <row r="19" customFormat="false" ht="15" hidden="false" customHeight="false" outlineLevel="0" collapsed="false">
      <c r="A19" s="2"/>
    </row>
    <row r="20" customFormat="false" ht="15" hidden="false" customHeight="false" outlineLevel="0" collapsed="false">
      <c r="A20" s="2" t="s">
        <v>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3" min="2" style="0" width="20"/>
    <col collapsed="false" customWidth="true" hidden="false" outlineLevel="0" max="4" min="4" style="0" width="22"/>
    <col collapsed="false" customWidth="true" hidden="false" outlineLevel="0" max="5" min="5" style="0" width="20"/>
  </cols>
  <sheetData>
    <row r="1" customFormat="false" ht="15" hidden="false" customHeight="false" outlineLevel="0" collapsed="false">
      <c r="A1" s="4" t="s">
        <v>16</v>
      </c>
    </row>
    <row r="2" customFormat="false" ht="15" hidden="false" customHeight="false" outlineLevel="0" collapsed="false">
      <c r="A2" s="5" t="s">
        <v>17</v>
      </c>
    </row>
    <row r="4" customFormat="false" ht="15" hidden="false" customHeight="false" outlineLevel="0" collapsed="false">
      <c r="A4" s="6" t="s">
        <v>18</v>
      </c>
      <c r="B4" s="6" t="s">
        <v>19</v>
      </c>
      <c r="C4" s="6" t="s">
        <v>20</v>
      </c>
      <c r="D4" s="6" t="s">
        <v>21</v>
      </c>
    </row>
    <row r="5" customFormat="false" ht="57.45" hidden="false" customHeight="false" outlineLevel="0" collapsed="false">
      <c r="A5" s="7" t="s">
        <v>22</v>
      </c>
      <c r="B5" s="8" t="n">
        <v>0.00059</v>
      </c>
      <c r="C5" s="9" t="n">
        <v>0.00059</v>
      </c>
      <c r="D5" s="10" t="s">
        <v>23</v>
      </c>
    </row>
    <row r="6" customFormat="false" ht="23.85" hidden="false" customHeight="false" outlineLevel="0" collapsed="false">
      <c r="A6" s="7" t="s">
        <v>24</v>
      </c>
      <c r="B6" s="8" t="n">
        <v>0.0002</v>
      </c>
      <c r="C6" s="9" t="n">
        <v>0.0002</v>
      </c>
      <c r="D6" s="10" t="s">
        <v>25</v>
      </c>
    </row>
    <row r="7" customFormat="false" ht="46.25" hidden="false" customHeight="false" outlineLevel="0" collapsed="false">
      <c r="A7" s="7" t="s">
        <v>26</v>
      </c>
      <c r="B7" s="8" t="n">
        <v>0.0001</v>
      </c>
      <c r="C7" s="9" t="n">
        <v>0.0001</v>
      </c>
      <c r="D7" s="10" t="s">
        <v>27</v>
      </c>
    </row>
    <row r="9" customFormat="false" ht="15" hidden="false" customHeight="false" outlineLevel="0" collapsed="false">
      <c r="A9" s="6" t="s">
        <v>28</v>
      </c>
      <c r="B9" s="6" t="s">
        <v>29</v>
      </c>
      <c r="C9" s="6" t="s">
        <v>30</v>
      </c>
      <c r="D9" s="6" t="s">
        <v>31</v>
      </c>
    </row>
    <row r="10" customFormat="false" ht="15" hidden="false" customHeight="false" outlineLevel="0" collapsed="false">
      <c r="A10" s="7" t="s">
        <v>32</v>
      </c>
      <c r="B10" s="11" t="n">
        <f aca="false">COUNT(Trades!W2:W302)</f>
        <v>301</v>
      </c>
      <c r="C10" s="11" t="n">
        <f aca="false">COUNT(Trades!P2:P302)</f>
        <v>301</v>
      </c>
      <c r="D10" s="11" t="n">
        <f aca="false">B10-C10</f>
        <v>0</v>
      </c>
    </row>
    <row r="11" customFormat="false" ht="15" hidden="false" customHeight="false" outlineLevel="0" collapsed="false">
      <c r="A11" s="7" t="s">
        <v>33</v>
      </c>
      <c r="B11" s="12" t="n">
        <f aca="false">SUM(Trades!S2:S302)</f>
        <v>3265.52865556586</v>
      </c>
      <c r="C11" s="12" t="n">
        <f aca="false">SUM(Trades!S2:S302)</f>
        <v>3265.52865556586</v>
      </c>
      <c r="D11" s="12" t="n">
        <f aca="false">B11-C11</f>
        <v>0</v>
      </c>
    </row>
    <row r="12" customFormat="false" ht="15" hidden="false" customHeight="false" outlineLevel="0" collapsed="false">
      <c r="A12" s="7" t="s">
        <v>34</v>
      </c>
      <c r="B12" s="12" t="n">
        <f aca="false">SUM(Trades!T2:T302)-SUM(Trades!S2:S302)</f>
        <v>-2026.1378288617</v>
      </c>
      <c r="C12" s="12" t="n">
        <f aca="false">SUM(Trades!O2:O302)-SUM(Trades!S2:S302)</f>
        <v>-2026.1378288617</v>
      </c>
      <c r="D12" s="12" t="n">
        <f aca="false">B12-C12</f>
        <v>0</v>
      </c>
    </row>
    <row r="13" customFormat="false" ht="15" hidden="false" customHeight="false" outlineLevel="0" collapsed="false">
      <c r="A13" s="7" t="s">
        <v>35</v>
      </c>
      <c r="B13" s="12" t="n">
        <f aca="false">-SUM(Trades!U2:U302)</f>
        <v>-5977.106595142</v>
      </c>
      <c r="C13" s="12" t="n">
        <f aca="false">-SUM(Trades!Q2:Q302)</f>
        <v>-5977.106595142</v>
      </c>
      <c r="D13" s="12" t="n">
        <f aca="false">B13-C13</f>
        <v>0</v>
      </c>
    </row>
    <row r="14" customFormat="false" ht="15" hidden="false" customHeight="false" outlineLevel="0" collapsed="false">
      <c r="A14" s="7" t="s">
        <v>36</v>
      </c>
      <c r="B14" s="12" t="n">
        <f aca="false">-SUM(Trades!V2:V302)</f>
        <v>-67.2366606016658</v>
      </c>
      <c r="C14" s="12" t="n">
        <f aca="false">-SUM(Trades!R2:R302)</f>
        <v>-67.2366606016658</v>
      </c>
      <c r="D14" s="12" t="n">
        <f aca="false">B14-C14</f>
        <v>0</v>
      </c>
    </row>
    <row r="15" customFormat="false" ht="15" hidden="false" customHeight="false" outlineLevel="0" collapsed="false">
      <c r="A15" s="13" t="s">
        <v>37</v>
      </c>
      <c r="B15" s="14" t="n">
        <f aca="false">SUM(Trades!W2:W302)</f>
        <v>-4804.9524290395</v>
      </c>
      <c r="C15" s="14" t="n">
        <f aca="false">SUM(Trades!P2:P302)</f>
        <v>-4804.9524290395</v>
      </c>
      <c r="D15" s="12" t="n">
        <f aca="false">B15-C15</f>
        <v>0</v>
      </c>
    </row>
    <row r="16" customFormat="false" ht="15" hidden="false" customHeight="false" outlineLevel="0" collapsed="false">
      <c r="A16" s="7" t="s">
        <v>38</v>
      </c>
      <c r="B16" s="15" t="n">
        <f aca="false">B15/B10</f>
        <v>-15.9632971064435</v>
      </c>
      <c r="C16" s="15" t="n">
        <f aca="false">C15/C10</f>
        <v>-15.9632971064435</v>
      </c>
      <c r="D16" s="15" t="n">
        <f aca="false">B16-C16</f>
        <v>0</v>
      </c>
    </row>
    <row r="17" customFormat="false" ht="15" hidden="false" customHeight="false" outlineLevel="0" collapsed="false">
      <c r="A17" s="7" t="s">
        <v>39</v>
      </c>
      <c r="B17" s="16" t="n">
        <f aca="false">B15/Settings!$B$2</f>
        <v>-0.9609904858079</v>
      </c>
      <c r="C17" s="16" t="n">
        <f aca="false">C15/Settings!$B$2</f>
        <v>-0.9609904858079</v>
      </c>
      <c r="D17" s="16" t="n">
        <f aca="false">B17-C17</f>
        <v>0</v>
      </c>
    </row>
    <row r="18" customFormat="false" ht="15" hidden="false" customHeight="false" outlineLevel="0" collapsed="false">
      <c r="A18" s="7" t="s">
        <v>40</v>
      </c>
      <c r="B18" s="16" t="n">
        <f aca="false">COUNTIF(Trades!W2:W302,"&gt;0")/B10</f>
        <v>0.614617940199336</v>
      </c>
      <c r="C18" s="16" t="n">
        <f aca="false">COUNTIF(Trades!P2:P302,"&gt;0")/C10</f>
        <v>0.614617940199336</v>
      </c>
      <c r="D18" s="16" t="n">
        <f aca="false">B18-C18</f>
        <v>0</v>
      </c>
    </row>
    <row r="19" customFormat="false" ht="15" hidden="false" customHeight="false" outlineLevel="0" collapsed="false">
      <c r="A19" s="7" t="s">
        <v>41</v>
      </c>
      <c r="B19" s="17" t="n">
        <f aca="false">SUMIF(Trades!W2:W302,"&gt;0")/-SUMIF(Trades!W2:W302,"&lt;0")</f>
        <v>0.533467693341453</v>
      </c>
      <c r="C19" s="17" t="n">
        <f aca="false">SUMIF(Trades!P2:P302,"&gt;0")/-SUMIF(Trades!P2:P302,"&lt;0")</f>
        <v>0.533467693341452</v>
      </c>
      <c r="D19" s="17" t="n">
        <f aca="false">B19-C19</f>
        <v>0</v>
      </c>
    </row>
    <row r="20" customFormat="false" ht="15" hidden="false" customHeight="false" outlineLevel="0" collapsed="false">
      <c r="A20" s="7" t="s">
        <v>42</v>
      </c>
      <c r="B20" s="12" t="n">
        <f aca="false">Settings!$B$2+B15</f>
        <v>195.047570960498</v>
      </c>
      <c r="C20" s="12" t="n">
        <f aca="false">Settings!$B$2+C15</f>
        <v>195.047570960498</v>
      </c>
      <c r="D20" s="12" t="n">
        <f aca="false">B20-C20</f>
        <v>0</v>
      </c>
    </row>
    <row r="22" customFormat="false" ht="15" hidden="false" customHeight="false" outlineLevel="0" collapsed="false">
      <c r="A22" s="18" t="s">
        <v>43</v>
      </c>
    </row>
    <row r="23" customFormat="false" ht="15" hidden="false" customHeight="false" outlineLevel="0" collapsed="false">
      <c r="A23" s="7" t="s">
        <v>44</v>
      </c>
      <c r="B23" s="19" t="n">
        <f aca="false">(SUM(Trades!T2:T302)-SUM(Trades!V2:V302))/(2*SUM(Trades!M2:M302))</f>
        <v>0.00011570330008211</v>
      </c>
    </row>
    <row r="24" customFormat="false" ht="15" hidden="false" customHeight="false" outlineLevel="0" collapsed="false">
      <c r="A24" s="7" t="s">
        <v>45</v>
      </c>
      <c r="B24" s="19" t="n">
        <f aca="false">(SUM(Trades!S2:S302)-2*B5*SUM(Trades!M2:M302)-SUM(Trades!V2:V302))/(2*SUM(Trades!M2:M302))</f>
        <v>-0.00027429669991789</v>
      </c>
    </row>
    <row r="25" customFormat="false" ht="15" hidden="false" customHeight="false" outlineLevel="0" collapsed="false">
      <c r="A25" s="7" t="s">
        <v>46</v>
      </c>
      <c r="B25" s="14" t="n">
        <f aca="false">SUM(Trades!S2:S302)-SUM(Trades!V2:V302)</f>
        <v>3198.2919949642</v>
      </c>
    </row>
    <row r="27" customFormat="false" ht="15" hidden="false" customHeight="false" outlineLevel="0" collapsed="false">
      <c r="A27" s="18" t="s">
        <v>47</v>
      </c>
    </row>
    <row r="28" customFormat="false" ht="15" hidden="false" customHeight="false" outlineLevel="0" collapsed="false">
      <c r="A28" s="20" t="s">
        <v>48</v>
      </c>
      <c r="B28" s="8" t="n">
        <v>0.0002</v>
      </c>
      <c r="C28" s="8" t="n">
        <v>0.0001</v>
      </c>
      <c r="D28" s="8" t="n">
        <v>5E-005</v>
      </c>
      <c r="E28" s="8" t="n">
        <v>0</v>
      </c>
    </row>
    <row r="29" customFormat="false" ht="15" hidden="false" customHeight="false" outlineLevel="0" collapsed="false">
      <c r="A29" s="21" t="n">
        <v>0.00059</v>
      </c>
      <c r="B29" s="12" t="n">
        <f aca="false">SUM(Trades!$S$2:$S$302)-2*B$28*SUM(Trades!$M$2:$M$302)-2*$A29*SUM(Trades!$M$2:$M$302)-SUM(Trades!$V$2:$V$302)</f>
        <v>-4804.9524290395</v>
      </c>
      <c r="C29" s="12" t="n">
        <f aca="false">SUM(Trades!$S$2:$S$302)-2*C$28*SUM(Trades!$M$2:$M$302)-2*$A29*SUM(Trades!$M$2:$M$302)-SUM(Trades!$V$2:$V$302)</f>
        <v>-3791.88351460865</v>
      </c>
      <c r="D29" s="12" t="n">
        <f aca="false">SUM(Trades!$S$2:$S$302)-2*D$28*SUM(Trades!$M$2:$M$302)-2*$A29*SUM(Trades!$M$2:$M$302)-SUM(Trades!$V$2:$V$302)</f>
        <v>-3285.34905739323</v>
      </c>
      <c r="E29" s="12" t="n">
        <f aca="false">SUM(Trades!$S$2:$S$302)-2*E$28*SUM(Trades!$M$2:$M$302)-2*$A29*SUM(Trades!$M$2:$M$302)-SUM(Trades!$V$2:$V$302)</f>
        <v>-2778.81460017781</v>
      </c>
    </row>
    <row r="30" customFormat="false" ht="15" hidden="false" customHeight="false" outlineLevel="0" collapsed="false">
      <c r="A30" s="21" t="n">
        <v>0.0005</v>
      </c>
      <c r="B30" s="12" t="n">
        <f aca="false">SUM(Trades!$S$2:$S$302)-2*B$28*SUM(Trades!$M$2:$M$302)-2*$A30*SUM(Trades!$M$2:$M$302)-SUM(Trades!$V$2:$V$302)</f>
        <v>-3893.19040605174</v>
      </c>
      <c r="C30" s="12" t="n">
        <f aca="false">SUM(Trades!$S$2:$S$302)-2*C$28*SUM(Trades!$M$2:$M$302)-2*$A30*SUM(Trades!$M$2:$M$302)-SUM(Trades!$V$2:$V$302)</f>
        <v>-2880.12149162089</v>
      </c>
      <c r="D30" s="12" t="n">
        <f aca="false">SUM(Trades!$S$2:$S$302)-2*D$28*SUM(Trades!$M$2:$M$302)-2*$A30*SUM(Trades!$M$2:$M$302)-SUM(Trades!$V$2:$V$302)</f>
        <v>-2373.58703440547</v>
      </c>
      <c r="E30" s="12" t="n">
        <f aca="false">SUM(Trades!$S$2:$S$302)-2*E$28*SUM(Trades!$M$2:$M$302)-2*$A30*SUM(Trades!$M$2:$M$302)-SUM(Trades!$V$2:$V$302)</f>
        <v>-1867.05257719004</v>
      </c>
    </row>
    <row r="31" customFormat="false" ht="15" hidden="false" customHeight="false" outlineLevel="0" collapsed="false">
      <c r="A31" s="21" t="n">
        <v>0.0004</v>
      </c>
      <c r="B31" s="12" t="n">
        <f aca="false">SUM(Trades!$S$2:$S$302)-2*B$28*SUM(Trades!$M$2:$M$302)-2*$A31*SUM(Trades!$M$2:$M$302)-SUM(Trades!$V$2:$V$302)</f>
        <v>-2880.12149162089</v>
      </c>
      <c r="C31" s="12" t="n">
        <f aca="false">SUM(Trades!$S$2:$S$302)-2*C$28*SUM(Trades!$M$2:$M$302)-2*$A31*SUM(Trades!$M$2:$M$302)-SUM(Trades!$V$2:$V$302)</f>
        <v>-1867.05257719004</v>
      </c>
      <c r="D31" s="12" t="n">
        <f aca="false">SUM(Trades!$S$2:$S$302)-2*D$28*SUM(Trades!$M$2:$M$302)-2*$A31*SUM(Trades!$M$2:$M$302)-SUM(Trades!$V$2:$V$302)</f>
        <v>-1360.51811997462</v>
      </c>
      <c r="E31" s="12" t="n">
        <f aca="false">SUM(Trades!$S$2:$S$302)-2*E$28*SUM(Trades!$M$2:$M$302)-2*$A31*SUM(Trades!$M$2:$M$302)-SUM(Trades!$V$2:$V$302)</f>
        <v>-853.983662759194</v>
      </c>
    </row>
    <row r="32" customFormat="false" ht="15" hidden="false" customHeight="false" outlineLevel="0" collapsed="false">
      <c r="A32" s="21" t="n">
        <v>0.0003</v>
      </c>
      <c r="B32" s="12" t="n">
        <f aca="false">SUM(Trades!$S$2:$S$302)-2*B$28*SUM(Trades!$M$2:$M$302)-2*$A32*SUM(Trades!$M$2:$M$302)-SUM(Trades!$V$2:$V$302)</f>
        <v>-1867.05257719004</v>
      </c>
      <c r="C32" s="12" t="n">
        <f aca="false">SUM(Trades!$S$2:$S$302)-2*C$28*SUM(Trades!$M$2:$M$302)-2*$A32*SUM(Trades!$M$2:$M$302)-SUM(Trades!$V$2:$V$302)</f>
        <v>-853.983662759194</v>
      </c>
      <c r="D32" s="12" t="n">
        <f aca="false">SUM(Trades!$S$2:$S$302)-2*D$28*SUM(Trades!$M$2:$M$302)-2*$A32*SUM(Trades!$M$2:$M$302)-SUM(Trades!$V$2:$V$302)</f>
        <v>-347.44920554377</v>
      </c>
      <c r="E32" s="12" t="n">
        <f aca="false">SUM(Trades!$S$2:$S$302)-2*E$28*SUM(Trades!$M$2:$M$302)-2*$A32*SUM(Trades!$M$2:$M$302)-SUM(Trades!$V$2:$V$302)</f>
        <v>159.085251671654</v>
      </c>
    </row>
    <row r="33" customFormat="false" ht="15" hidden="false" customHeight="false" outlineLevel="0" collapsed="false">
      <c r="A33" s="21" t="n">
        <v>0.0002</v>
      </c>
      <c r="B33" s="12" t="n">
        <f aca="false">SUM(Trades!$S$2:$S$302)-2*B$28*SUM(Trades!$M$2:$M$302)-2*$A33*SUM(Trades!$M$2:$M$302)-SUM(Trades!$V$2:$V$302)</f>
        <v>-853.983662759194</v>
      </c>
      <c r="C33" s="12" t="n">
        <f aca="false">SUM(Trades!$S$2:$S$302)-2*C$28*SUM(Trades!$M$2:$M$302)-2*$A33*SUM(Trades!$M$2:$M$302)-SUM(Trades!$V$2:$V$302)</f>
        <v>159.085251671654</v>
      </c>
      <c r="D33" s="12" t="n">
        <f aca="false">SUM(Trades!$S$2:$S$302)-2*D$28*SUM(Trades!$M$2:$M$302)-2*$A33*SUM(Trades!$M$2:$M$302)-SUM(Trades!$V$2:$V$302)</f>
        <v>665.619708887078</v>
      </c>
      <c r="E33" s="12" t="n">
        <f aca="false">SUM(Trades!$S$2:$S$302)-2*E$28*SUM(Trades!$M$2:$M$302)-2*$A33*SUM(Trades!$M$2:$M$302)-SUM(Trades!$V$2:$V$302)</f>
        <v>1172.1541661025</v>
      </c>
    </row>
    <row r="34" customFormat="false" ht="15" hidden="false" customHeight="false" outlineLevel="0" collapsed="false">
      <c r="A34" s="21" t="n">
        <v>0.0001</v>
      </c>
      <c r="B34" s="12" t="n">
        <f aca="false">SUM(Trades!$S$2:$S$302)-2*B$28*SUM(Trades!$M$2:$M$302)-2*$A34*SUM(Trades!$M$2:$M$302)-SUM(Trades!$V$2:$V$302)</f>
        <v>159.085251671654</v>
      </c>
      <c r="C34" s="12" t="n">
        <f aca="false">SUM(Trades!$S$2:$S$302)-2*C$28*SUM(Trades!$M$2:$M$302)-2*$A34*SUM(Trades!$M$2:$M$302)-SUM(Trades!$V$2:$V$302)</f>
        <v>1172.1541661025</v>
      </c>
      <c r="D34" s="12" t="n">
        <f aca="false">SUM(Trades!$S$2:$S$302)-2*D$28*SUM(Trades!$M$2:$M$302)-2*$A34*SUM(Trades!$M$2:$M$302)-SUM(Trades!$V$2:$V$302)</f>
        <v>1678.68862331793</v>
      </c>
      <c r="E34" s="12" t="n">
        <f aca="false">SUM(Trades!$S$2:$S$302)-2*E$28*SUM(Trades!$M$2:$M$302)-2*$A34*SUM(Trades!$M$2:$M$302)-SUM(Trades!$V$2:$V$302)</f>
        <v>2185.22308053335</v>
      </c>
    </row>
    <row r="35" customFormat="false" ht="15" hidden="false" customHeight="false" outlineLevel="0" collapsed="false">
      <c r="A35" s="21" t="n">
        <v>0</v>
      </c>
      <c r="B35" s="12" t="n">
        <f aca="false">SUM(Trades!$S$2:$S$302)-2*B$28*SUM(Trades!$M$2:$M$302)-2*$A35*SUM(Trades!$M$2:$M$302)-SUM(Trades!$V$2:$V$302)</f>
        <v>1172.1541661025</v>
      </c>
      <c r="C35" s="12" t="n">
        <f aca="false">SUM(Trades!$S$2:$S$302)-2*C$28*SUM(Trades!$M$2:$M$302)-2*$A35*SUM(Trades!$M$2:$M$302)-SUM(Trades!$V$2:$V$302)</f>
        <v>2185.22308053335</v>
      </c>
      <c r="D35" s="12" t="n">
        <f aca="false">SUM(Trades!$S$2:$S$302)-2*D$28*SUM(Trades!$M$2:$M$302)-2*$A35*SUM(Trades!$M$2:$M$302)-SUM(Trades!$V$2:$V$302)</f>
        <v>2691.75753774877</v>
      </c>
      <c r="E35" s="12" t="n">
        <f aca="false">SUM(Trades!$S$2:$S$302)-2*E$28*SUM(Trades!$M$2:$M$302)-2*$A35*SUM(Trades!$M$2:$M$302)-SUM(Trades!$V$2:$V$302)</f>
        <v>3198.2919949642</v>
      </c>
    </row>
    <row r="37" customFormat="false" ht="15" hidden="false" customHeight="false" outlineLevel="0" collapsed="false">
      <c r="A37" s="5" t="s">
        <v>49</v>
      </c>
    </row>
    <row r="38" customFormat="false" ht="15" hidden="false" customHeight="false" outlineLevel="0" collapsed="false">
      <c r="A38" s="5" t="s">
        <v>50</v>
      </c>
    </row>
    <row r="39" customFormat="false" ht="15" hidden="false" customHeight="false" outlineLevel="0" collapsed="false">
      <c r="A39" s="5" t="s">
        <v>51</v>
      </c>
    </row>
  </sheetData>
  <conditionalFormatting sqref="B29:E35">
    <cfRule type="cellIs" priority="2" operator="greaterThan" aboveAverage="0" equalAverage="0" bottom="0" percent="0" rank="0" text="" dxfId="0">
      <formula>0</formula>
    </cfRule>
    <cfRule type="cellIs" priority="3" operator="lessThan" aboveAverage="0" equalAverage="0" bottom="0" percent="0" rank="0" text="" dxfId="1">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0"/>
    <col collapsed="false" customWidth="true" hidden="false" outlineLevel="0" max="3" min="3" style="0" width="22"/>
    <col collapsed="false" customWidth="true" hidden="false" outlineLevel="0" max="4" min="4" style="0" width="16"/>
    <col collapsed="false" customWidth="true" hidden="false" outlineLevel="0" max="6" min="5" style="0" width="22"/>
  </cols>
  <sheetData>
    <row r="1" customFormat="false" ht="15" hidden="false" customHeight="false" outlineLevel="0" collapsed="false">
      <c r="A1" s="4" t="s">
        <v>52</v>
      </c>
    </row>
    <row r="3" customFormat="false" ht="15" hidden="false" customHeight="false" outlineLevel="0" collapsed="false">
      <c r="A3" s="6" t="s">
        <v>53</v>
      </c>
      <c r="B3" s="6" t="s">
        <v>32</v>
      </c>
      <c r="C3" s="6" t="s">
        <v>54</v>
      </c>
      <c r="D3" s="6" t="s">
        <v>55</v>
      </c>
      <c r="E3" s="6" t="s">
        <v>56</v>
      </c>
      <c r="F3" s="6" t="s">
        <v>57</v>
      </c>
    </row>
    <row r="4" customFormat="false" ht="15" hidden="false" customHeight="false" outlineLevel="0" collapsed="false">
      <c r="A4" s="22" t="s">
        <v>58</v>
      </c>
      <c r="B4" s="23"/>
      <c r="C4" s="23"/>
      <c r="D4" s="23"/>
      <c r="E4" s="23"/>
      <c r="F4" s="23"/>
    </row>
    <row r="5" customFormat="false" ht="15" hidden="false" customHeight="false" outlineLevel="0" collapsed="false">
      <c r="A5" s="7" t="s">
        <v>59</v>
      </c>
      <c r="B5" s="11" t="n">
        <f aca="false">COUNTIFS(Trades!$D$2:$D$302,$A5)</f>
        <v>75</v>
      </c>
      <c r="C5" s="12" t="n">
        <f aca="false">SUMIFS(Trades!$S$2:$S$302,Trades!$D$2:$D$302,$A5)</f>
        <v>1602.65523764918</v>
      </c>
      <c r="D5" s="12" t="n">
        <f aca="false">SUMIFS(Trades!$P$2:$P$302,Trades!$D$2:$D$302,$A5)</f>
        <v>-1317.66694146537</v>
      </c>
      <c r="E5" s="12" t="n">
        <f aca="false">SUMIFS(Trades!$W$2:$W$302,Trades!$D$2:$D$302,$A5)</f>
        <v>-1317.66694146537</v>
      </c>
      <c r="F5" s="16" t="n">
        <f aca="false">IF(B5=0,0,COUNTIFS(Trades!$D$2:$D$302,$A5,Trades!$W$2:$W$302,"&gt;0")/B5)</f>
        <v>0.56</v>
      </c>
    </row>
    <row r="6" customFormat="false" ht="15" hidden="false" customHeight="false" outlineLevel="0" collapsed="false">
      <c r="A6" s="7" t="s">
        <v>60</v>
      </c>
      <c r="B6" s="11" t="n">
        <f aca="false">COUNTIFS(Trades!$D$2:$D$302,$A6)</f>
        <v>220</v>
      </c>
      <c r="C6" s="12" t="n">
        <f aca="false">SUMIFS(Trades!$S$2:$S$302,Trades!$D$2:$D$302,$A6)</f>
        <v>1711.12685506954</v>
      </c>
      <c r="D6" s="12" t="n">
        <f aca="false">SUMIFS(Trades!$P$2:$P$302,Trades!$D$2:$D$302,$A6)</f>
        <v>-3144.05968696065</v>
      </c>
      <c r="E6" s="12" t="n">
        <f aca="false">SUMIFS(Trades!$W$2:$W$302,Trades!$D$2:$D$302,$A6)</f>
        <v>-3144.05968696065</v>
      </c>
      <c r="F6" s="16" t="n">
        <f aca="false">IF(B6=0,0,COUNTIFS(Trades!$D$2:$D$302,$A6,Trades!$W$2:$W$302,"&gt;0")/B6)</f>
        <v>0.645454545454546</v>
      </c>
    </row>
    <row r="7" customFormat="false" ht="15" hidden="false" customHeight="false" outlineLevel="0" collapsed="false">
      <c r="A7" s="7" t="s">
        <v>61</v>
      </c>
      <c r="B7" s="11" t="n">
        <f aca="false">COUNTIFS(Trades!$D$2:$D$302,$A7)</f>
        <v>6</v>
      </c>
      <c r="C7" s="12" t="n">
        <f aca="false">SUMIFS(Trades!$S$2:$S$302,Trades!$D$2:$D$302,$A7)</f>
        <v>-48.2534371528549</v>
      </c>
      <c r="D7" s="12" t="n">
        <f aca="false">SUMIFS(Trades!$P$2:$P$302,Trades!$D$2:$D$302,$A7)</f>
        <v>-343.225800613479</v>
      </c>
      <c r="E7" s="12" t="n">
        <f aca="false">SUMIFS(Trades!$W$2:$W$302,Trades!$D$2:$D$302,$A7)</f>
        <v>-343.225800613479</v>
      </c>
      <c r="F7" s="16" t="n">
        <f aca="false">IF(B7=0,0,COUNTIFS(Trades!$D$2:$D$302,$A7,Trades!$W$2:$W$302,"&gt;0")/B7)</f>
        <v>0.166666666666667</v>
      </c>
    </row>
    <row r="9" customFormat="false" ht="15" hidden="false" customHeight="false" outlineLevel="0" collapsed="false">
      <c r="A9" s="22" t="s">
        <v>62</v>
      </c>
      <c r="B9" s="23"/>
      <c r="C9" s="23"/>
      <c r="D9" s="23"/>
      <c r="E9" s="23"/>
      <c r="F9" s="23"/>
    </row>
    <row r="10" customFormat="false" ht="15" hidden="false" customHeight="false" outlineLevel="0" collapsed="false">
      <c r="A10" s="7" t="s">
        <v>63</v>
      </c>
      <c r="B10" s="11" t="n">
        <f aca="false">COUNTIFS(Trades!$C$2:$C$302,$A10)</f>
        <v>162</v>
      </c>
      <c r="C10" s="12" t="n">
        <f aca="false">SUMIFS(Trades!$S$2:$S$302,Trades!$C$2:$C$302,$A10)</f>
        <v>1850.80640554188</v>
      </c>
      <c r="D10" s="12" t="n">
        <f aca="false">SUMIFS(Trades!$P$2:$P$302,Trades!$C$2:$C$302,$A10)</f>
        <v>-2939.24013933609</v>
      </c>
      <c r="E10" s="12" t="n">
        <f aca="false">SUMIFS(Trades!$W$2:$W$302,Trades!$C$2:$C$302,$A10)</f>
        <v>-2939.24013933609</v>
      </c>
      <c r="F10" s="16" t="n">
        <f aca="false">IF(B10=0,0,COUNTIFS(Trades!$C$2:$C$302,$A10,Trades!$W$2:$W$302,"&gt;0")/B10)</f>
        <v>0.58641975308642</v>
      </c>
    </row>
    <row r="11" customFormat="false" ht="15" hidden="false" customHeight="false" outlineLevel="0" collapsed="false">
      <c r="A11" s="7" t="s">
        <v>64</v>
      </c>
      <c r="B11" s="11" t="n">
        <f aca="false">COUNTIFS(Trades!$C$2:$C$302,$A11)</f>
        <v>139</v>
      </c>
      <c r="C11" s="12" t="n">
        <f aca="false">SUMIFS(Trades!$S$2:$S$302,Trades!$C$2:$C$302,$A11)</f>
        <v>1414.72225002398</v>
      </c>
      <c r="D11" s="12" t="n">
        <f aca="false">SUMIFS(Trades!$P$2:$P$302,Trades!$C$2:$C$302,$A11)</f>
        <v>-1865.71228970342</v>
      </c>
      <c r="E11" s="12" t="n">
        <f aca="false">SUMIFS(Trades!$W$2:$W$302,Trades!$C$2:$C$302,$A11)</f>
        <v>-1865.71228970342</v>
      </c>
      <c r="F11" s="16" t="n">
        <f aca="false">IF(B11=0,0,COUNTIFS(Trades!$C$2:$C$302,$A11,Trades!$W$2:$W$302,"&gt;0")/B11)</f>
        <v>0.647482014388489</v>
      </c>
    </row>
    <row r="13" customFormat="false" ht="15" hidden="false" customHeight="false" outlineLevel="0" collapsed="false">
      <c r="A13" s="22" t="s">
        <v>65</v>
      </c>
      <c r="B13" s="23"/>
      <c r="C13" s="23"/>
      <c r="D13" s="23"/>
      <c r="E13" s="23"/>
      <c r="F13" s="23"/>
    </row>
    <row r="14" customFormat="false" ht="15" hidden="false" customHeight="false" outlineLevel="0" collapsed="false">
      <c r="A14" s="7" t="s">
        <v>66</v>
      </c>
      <c r="B14" s="11" t="n">
        <f aca="false">COUNTIFS(Trades!$E$2:$E$302,$A14)</f>
        <v>140</v>
      </c>
      <c r="C14" s="12" t="n">
        <f aca="false">SUMIFS(Trades!$S$2:$S$302,Trades!$E$2:$E$302,$A14)</f>
        <v>1807.11579268868</v>
      </c>
      <c r="D14" s="12" t="n">
        <f aca="false">SUMIFS(Trades!$P$2:$P$302,Trades!$E$2:$E$302,$A14)</f>
        <v>-2014.70581595325</v>
      </c>
      <c r="E14" s="12" t="n">
        <f aca="false">SUMIFS(Trades!$W$2:$W$302,Trades!$E$2:$E$302,$A14)</f>
        <v>-2014.70581595325</v>
      </c>
      <c r="F14" s="16" t="n">
        <f aca="false">IF(B14=0,0,COUNTIFS(Trades!$E$2:$E$302,$A14,Trades!$W$2:$W$302,"&gt;0")/B14)</f>
        <v>0.65</v>
      </c>
    </row>
    <row r="15" customFormat="false" ht="15" hidden="false" customHeight="false" outlineLevel="0" collapsed="false">
      <c r="A15" s="7" t="s">
        <v>67</v>
      </c>
      <c r="B15" s="11" t="n">
        <f aca="false">COUNTIFS(Trades!$E$2:$E$302,$A15)</f>
        <v>161</v>
      </c>
      <c r="C15" s="12" t="n">
        <f aca="false">SUMIFS(Trades!$S$2:$S$302,Trades!$E$2:$E$302,$A15)</f>
        <v>1458.41286287718</v>
      </c>
      <c r="D15" s="12" t="n">
        <f aca="false">SUMIFS(Trades!$P$2:$P$302,Trades!$E$2:$E$302,$A15)</f>
        <v>-2790.24661308625</v>
      </c>
      <c r="E15" s="12" t="n">
        <f aca="false">SUMIFS(Trades!$W$2:$W$302,Trades!$E$2:$E$302,$A15)</f>
        <v>-2790.24661308625</v>
      </c>
      <c r="F15" s="16" t="n">
        <f aca="false">IF(B15=0,0,COUNTIFS(Trades!$E$2:$E$302,$A15,Trades!$W$2:$W$302,"&gt;0")/B15)</f>
        <v>0.583850931677019</v>
      </c>
    </row>
    <row r="17" customFormat="false" ht="15" hidden="false" customHeight="false" outlineLevel="0" collapsed="false">
      <c r="A17" s="22" t="s">
        <v>68</v>
      </c>
      <c r="B17" s="23"/>
      <c r="C17" s="23"/>
      <c r="D17" s="23"/>
      <c r="E17" s="23"/>
      <c r="F17" s="23"/>
    </row>
    <row r="18" customFormat="false" ht="15" hidden="false" customHeight="false" outlineLevel="0" collapsed="false">
      <c r="A18" s="7" t="s">
        <v>69</v>
      </c>
      <c r="B18" s="11" t="n">
        <f aca="false">COUNTIFS(Trades!$K$2:$K$302,$A18)</f>
        <v>189</v>
      </c>
      <c r="C18" s="12" t="n">
        <f aca="false">SUMIFS(Trades!$S$2:$S$302,Trades!$K$2:$K$302,$A18)</f>
        <v>10373.6178660013</v>
      </c>
      <c r="D18" s="12" t="n">
        <f aca="false">SUMIFS(Trades!$P$2:$P$302,Trades!$K$2:$K$302,$A18)</f>
        <v>5425.46198501891</v>
      </c>
      <c r="E18" s="12" t="n">
        <f aca="false">SUMIFS(Trades!$W$2:$W$302,Trades!$K$2:$K$302,$A18)</f>
        <v>5425.46198501891</v>
      </c>
      <c r="F18" s="16" t="n">
        <f aca="false">IF(B18=0,0,COUNTIFS(Trades!$K$2:$K$302,$A18,Trades!$W$2:$W$302,"&gt;0")/B18)</f>
        <v>0.962962962962963</v>
      </c>
    </row>
    <row r="19" customFormat="false" ht="15" hidden="false" customHeight="false" outlineLevel="0" collapsed="false">
      <c r="A19" s="7" t="s">
        <v>70</v>
      </c>
      <c r="B19" s="11" t="n">
        <f aca="false">COUNTIFS(Trades!$K$2:$K$302,$A19)</f>
        <v>89</v>
      </c>
      <c r="C19" s="12" t="n">
        <f aca="false">SUMIFS(Trades!$S$2:$S$302,Trades!$K$2:$K$302,$A19)</f>
        <v>-7013.73318235395</v>
      </c>
      <c r="D19" s="12" t="n">
        <f aca="false">SUMIFS(Trades!$P$2:$P$302,Trades!$K$2:$K$302,$A19)</f>
        <v>-9471.56292205706</v>
      </c>
      <c r="E19" s="12" t="n">
        <f aca="false">SUMIFS(Trades!$W$2:$W$302,Trades!$K$2:$K$302,$A19)</f>
        <v>-9471.56292205706</v>
      </c>
      <c r="F19" s="16" t="n">
        <f aca="false">IF(B19=0,0,COUNTIFS(Trades!$K$2:$K$302,$A19,Trades!$W$2:$W$302,"&gt;0")/B19)</f>
        <v>0</v>
      </c>
    </row>
    <row r="20" customFormat="false" ht="15" hidden="false" customHeight="false" outlineLevel="0" collapsed="false">
      <c r="A20" s="7" t="s">
        <v>71</v>
      </c>
      <c r="B20" s="11" t="n">
        <f aca="false">COUNTIFS(Trades!$K$2:$K$302,$A20)</f>
        <v>21</v>
      </c>
      <c r="C20" s="12" t="n">
        <f aca="false">SUMIFS(Trades!$S$2:$S$302,Trades!$K$2:$K$302,$A20)</f>
        <v>-229.847044974007</v>
      </c>
      <c r="D20" s="12" t="n">
        <f aca="false">SUMIFS(Trades!$P$2:$P$302,Trades!$K$2:$K$302,$A20)</f>
        <v>-738.069400036642</v>
      </c>
      <c r="E20" s="12" t="n">
        <f aca="false">SUMIFS(Trades!$W$2:$W$302,Trades!$K$2:$K$302,$A20)</f>
        <v>-738.069400036642</v>
      </c>
      <c r="F20" s="16" t="n">
        <f aca="false">IF(B20=0,0,COUNTIFS(Trades!$K$2:$K$302,$A20,Trades!$W$2:$W$302,"&gt;0")/B20)</f>
        <v>0.142857142857143</v>
      </c>
    </row>
    <row r="21" customFormat="false" ht="15" hidden="false" customHeight="false" outlineLevel="0" collapsed="false">
      <c r="A21" s="7" t="s">
        <v>72</v>
      </c>
      <c r="B21" s="11" t="n">
        <f aca="false">COUNTIFS(Trades!$K$2:$K$302,$A21)</f>
        <v>2</v>
      </c>
      <c r="C21" s="12" t="n">
        <f aca="false">SUMIFS(Trades!$S$2:$S$302,Trades!$K$2:$K$302,$A21)</f>
        <v>135.491016892496</v>
      </c>
      <c r="D21" s="12" t="n">
        <f aca="false">SUMIFS(Trades!$P$2:$P$302,Trades!$K$2:$K$302,$A21)</f>
        <v>-20.7820919647081</v>
      </c>
      <c r="E21" s="12" t="n">
        <f aca="false">SUMIFS(Trades!$W$2:$W$302,Trades!$K$2:$K$302,$A21)</f>
        <v>-20.7820919647081</v>
      </c>
      <c r="F21" s="16" t="n">
        <f aca="false">IF(B21=0,0,COUNTIFS(Trades!$K$2:$K$302,$A21,Trades!$W$2:$W$302,"&gt;0")/B21)</f>
        <v>0</v>
      </c>
    </row>
    <row r="23" customFormat="false" ht="15" hidden="false" customHeight="false" outlineLevel="0" collapsed="false">
      <c r="A23" s="22" t="s">
        <v>73</v>
      </c>
      <c r="B23" s="23"/>
      <c r="C23" s="23"/>
      <c r="D23" s="23"/>
      <c r="E23" s="23"/>
      <c r="F23" s="23"/>
    </row>
    <row r="24" customFormat="false" ht="15" hidden="false" customHeight="false" outlineLevel="0" collapsed="false">
      <c r="A24" s="7" t="s">
        <v>74</v>
      </c>
      <c r="B24" s="11" t="n">
        <f aca="false">COUNTIFS(Trades!$X$2:$X$302,$A24)</f>
        <v>1</v>
      </c>
      <c r="C24" s="12" t="n">
        <f aca="false">SUMIFS(Trades!$S$2:$S$302,Trades!$X$2:$X$302,$A24)</f>
        <v>43.5347660756823</v>
      </c>
      <c r="D24" s="12" t="n">
        <f aca="false">SUMIFS(Trades!$P$2:$P$302,Trades!$X$2:$X$302,$A24)</f>
        <v>6.42272753615905</v>
      </c>
      <c r="E24" s="12" t="n">
        <f aca="false">SUMIFS(Trades!$W$2:$W$302,Trades!$X$2:$X$302,$A24)</f>
        <v>6.42272753615904</v>
      </c>
      <c r="F24" s="16" t="n">
        <f aca="false">IF(B24=0,0,COUNTIFS(Trades!$X$2:$X$302,$A24,Trades!$W$2:$W$302,"&gt;0")/B24)</f>
        <v>1</v>
      </c>
    </row>
    <row r="25" customFormat="false" ht="15" hidden="false" customHeight="false" outlineLevel="0" collapsed="false">
      <c r="A25" s="7" t="s">
        <v>75</v>
      </c>
      <c r="B25" s="11" t="n">
        <f aca="false">COUNTIFS(Trades!$X$2:$X$302,$A25)</f>
        <v>32</v>
      </c>
      <c r="C25" s="12" t="n">
        <f aca="false">SUMIFS(Trades!$S$2:$S$302,Trades!$X$2:$X$302,$A25)</f>
        <v>541.766065699192</v>
      </c>
      <c r="D25" s="12" t="n">
        <f aca="false">SUMIFS(Trades!$P$2:$P$302,Trades!$X$2:$X$302,$A25)</f>
        <v>-529.291213466035</v>
      </c>
      <c r="E25" s="12" t="n">
        <f aca="false">SUMIFS(Trades!$W$2:$W$302,Trades!$X$2:$X$302,$A25)</f>
        <v>-529.291213466036</v>
      </c>
      <c r="F25" s="16" t="n">
        <f aca="false">IF(B25=0,0,COUNTIFS(Trades!$X$2:$X$302,$A25,Trades!$W$2:$W$302,"&gt;0")/B25)</f>
        <v>0.5625</v>
      </c>
    </row>
    <row r="26" customFormat="false" ht="15" hidden="false" customHeight="false" outlineLevel="0" collapsed="false">
      <c r="A26" s="7" t="s">
        <v>76</v>
      </c>
      <c r="B26" s="11" t="n">
        <f aca="false">COUNTIFS(Trades!$X$2:$X$302,$A26)</f>
        <v>28</v>
      </c>
      <c r="C26" s="12" t="n">
        <f aca="false">SUMIFS(Trades!$S$2:$S$302,Trades!$X$2:$X$302,$A26)</f>
        <v>-709.262291532869</v>
      </c>
      <c r="D26" s="12" t="n">
        <f aca="false">SUMIFS(Trades!$P$2:$P$302,Trades!$X$2:$X$302,$A26)</f>
        <v>-1273.88419400622</v>
      </c>
      <c r="E26" s="12" t="n">
        <f aca="false">SUMIFS(Trades!$W$2:$W$302,Trades!$X$2:$X$302,$A26)</f>
        <v>-1273.88419400622</v>
      </c>
      <c r="F26" s="16" t="n">
        <f aca="false">IF(B26=0,0,COUNTIFS(Trades!$X$2:$X$302,$A26,Trades!$W$2:$W$302,"&gt;0")/B26)</f>
        <v>0.428571428571429</v>
      </c>
    </row>
    <row r="27" customFormat="false" ht="15" hidden="false" customHeight="false" outlineLevel="0" collapsed="false">
      <c r="A27" s="7" t="s">
        <v>77</v>
      </c>
      <c r="B27" s="11" t="n">
        <f aca="false">COUNTIFS(Trades!$X$2:$X$302,$A27)</f>
        <v>30</v>
      </c>
      <c r="C27" s="12" t="n">
        <f aca="false">SUMIFS(Trades!$S$2:$S$302,Trades!$X$2:$X$302,$A27)</f>
        <v>759.110715154504</v>
      </c>
      <c r="D27" s="12" t="n">
        <f aca="false">SUMIFS(Trades!$P$2:$P$302,Trades!$X$2:$X$302,$A27)</f>
        <v>12.327883405527</v>
      </c>
      <c r="E27" s="12" t="n">
        <f aca="false">SUMIFS(Trades!$W$2:$W$302,Trades!$X$2:$X$302,$A27)</f>
        <v>12.3278834055271</v>
      </c>
      <c r="F27" s="16" t="n">
        <f aca="false">IF(B27=0,0,COUNTIFS(Trades!$X$2:$X$302,$A27,Trades!$W$2:$W$302,"&gt;0")/B27)</f>
        <v>0.8</v>
      </c>
    </row>
    <row r="28" customFormat="false" ht="15" hidden="false" customHeight="false" outlineLevel="0" collapsed="false">
      <c r="A28" s="7" t="s">
        <v>78</v>
      </c>
      <c r="B28" s="11" t="n">
        <f aca="false">COUNTIFS(Trades!$X$2:$X$302,$A28)</f>
        <v>34</v>
      </c>
      <c r="C28" s="12" t="n">
        <f aca="false">SUMIFS(Trades!$S$2:$S$302,Trades!$X$2:$X$302,$A28)</f>
        <v>219.837900131069</v>
      </c>
      <c r="D28" s="12" t="n">
        <f aca="false">SUMIFS(Trades!$P$2:$P$302,Trades!$X$2:$X$302,$A28)</f>
        <v>-599.92808228028</v>
      </c>
      <c r="E28" s="12" t="n">
        <f aca="false">SUMIFS(Trades!$W$2:$W$302,Trades!$X$2:$X$302,$A28)</f>
        <v>-599.928082280279</v>
      </c>
      <c r="F28" s="16" t="n">
        <f aca="false">IF(B28=0,0,COUNTIFS(Trades!$X$2:$X$302,$A28,Trades!$W$2:$W$302,"&gt;0")/B28)</f>
        <v>0.647058823529412</v>
      </c>
    </row>
    <row r="29" customFormat="false" ht="15" hidden="false" customHeight="false" outlineLevel="0" collapsed="false">
      <c r="A29" s="7" t="s">
        <v>79</v>
      </c>
      <c r="B29" s="11" t="n">
        <f aca="false">COUNTIFS(Trades!$X$2:$X$302,$A29)</f>
        <v>30</v>
      </c>
      <c r="C29" s="12" t="n">
        <f aca="false">SUMIFS(Trades!$S$2:$S$302,Trades!$X$2:$X$302,$A29)</f>
        <v>812.857493192505</v>
      </c>
      <c r="D29" s="12" t="n">
        <f aca="false">SUMIFS(Trades!$P$2:$P$302,Trades!$X$2:$X$302,$A29)</f>
        <v>21.4146497674221</v>
      </c>
      <c r="E29" s="12" t="n">
        <f aca="false">SUMIFS(Trades!$W$2:$W$302,Trades!$X$2:$X$302,$A29)</f>
        <v>21.4146497674221</v>
      </c>
      <c r="F29" s="16" t="n">
        <f aca="false">IF(B29=0,0,COUNTIFS(Trades!$X$2:$X$302,$A29,Trades!$W$2:$W$302,"&gt;0")/B29)</f>
        <v>0.733333333333333</v>
      </c>
    </row>
    <row r="30" customFormat="false" ht="15" hidden="false" customHeight="false" outlineLevel="0" collapsed="false">
      <c r="A30" s="7" t="s">
        <v>80</v>
      </c>
      <c r="B30" s="11" t="n">
        <f aca="false">COUNTIFS(Trades!$X$2:$X$302,$A30)</f>
        <v>32</v>
      </c>
      <c r="C30" s="12" t="n">
        <f aca="false">SUMIFS(Trades!$S$2:$S$302,Trades!$X$2:$X$302,$A30)</f>
        <v>298.582247312922</v>
      </c>
      <c r="D30" s="12" t="n">
        <f aca="false">SUMIFS(Trades!$P$2:$P$302,Trades!$X$2:$X$302,$A30)</f>
        <v>-462.592964401897</v>
      </c>
      <c r="E30" s="12" t="n">
        <f aca="false">SUMIFS(Trades!$W$2:$W$302,Trades!$X$2:$X$302,$A30)</f>
        <v>-462.592964401897</v>
      </c>
      <c r="F30" s="16" t="n">
        <f aca="false">IF(B30=0,0,COUNTIFS(Trades!$X$2:$X$302,$A30,Trades!$W$2:$W$302,"&gt;0")/B30)</f>
        <v>0.6875</v>
      </c>
    </row>
    <row r="31" customFormat="false" ht="15" hidden="false" customHeight="false" outlineLevel="0" collapsed="false">
      <c r="A31" s="7" t="s">
        <v>81</v>
      </c>
      <c r="B31" s="11" t="n">
        <f aca="false">COUNTIFS(Trades!$X$2:$X$302,$A31)</f>
        <v>36</v>
      </c>
      <c r="C31" s="12" t="n">
        <f aca="false">SUMIFS(Trades!$S$2:$S$302,Trades!$X$2:$X$302,$A31)</f>
        <v>481.353295211477</v>
      </c>
      <c r="D31" s="12" t="n">
        <f aca="false">SUMIFS(Trades!$P$2:$P$302,Trades!$X$2:$X$302,$A31)</f>
        <v>-526.033497325084</v>
      </c>
      <c r="E31" s="12" t="n">
        <f aca="false">SUMIFS(Trades!$W$2:$W$302,Trades!$X$2:$X$302,$A31)</f>
        <v>-526.033497325084</v>
      </c>
      <c r="F31" s="16" t="n">
        <f aca="false">IF(B31=0,0,COUNTIFS(Trades!$X$2:$X$302,$A31,Trades!$W$2:$W$302,"&gt;0")/B31)</f>
        <v>0.638888888888889</v>
      </c>
    </row>
    <row r="32" customFormat="false" ht="15" hidden="false" customHeight="false" outlineLevel="0" collapsed="false">
      <c r="A32" s="7" t="s">
        <v>82</v>
      </c>
      <c r="B32" s="11" t="n">
        <f aca="false">COUNTIFS(Trades!$X$2:$X$302,$A32)</f>
        <v>34</v>
      </c>
      <c r="C32" s="12" t="n">
        <f aca="false">SUMIFS(Trades!$S$2:$S$302,Trades!$X$2:$X$302,$A32)</f>
        <v>526.887022720385</v>
      </c>
      <c r="D32" s="12" t="n">
        <f aca="false">SUMIFS(Trades!$P$2:$P$302,Trades!$X$2:$X$302,$A32)</f>
        <v>-543.971716533152</v>
      </c>
      <c r="E32" s="12" t="n">
        <f aca="false">SUMIFS(Trades!$W$2:$W$302,Trades!$X$2:$X$302,$A32)</f>
        <v>-543.971716533152</v>
      </c>
      <c r="F32" s="16" t="n">
        <f aca="false">IF(B32=0,0,COUNTIFS(Trades!$X$2:$X$302,$A32,Trades!$W$2:$W$302,"&gt;0")/B32)</f>
        <v>0.470588235294118</v>
      </c>
    </row>
    <row r="33" customFormat="false" ht="15" hidden="false" customHeight="false" outlineLevel="0" collapsed="false">
      <c r="A33" s="7" t="s">
        <v>83</v>
      </c>
      <c r="B33" s="11" t="n">
        <f aca="false">COUNTIFS(Trades!$X$2:$X$302,$A33)</f>
        <v>29</v>
      </c>
      <c r="C33" s="12" t="n">
        <f aca="false">SUMIFS(Trades!$S$2:$S$302,Trades!$X$2:$X$302,$A33)</f>
        <v>112.607037285352</v>
      </c>
      <c r="D33" s="12" t="n">
        <f aca="false">SUMIFS(Trades!$P$2:$P$302,Trades!$X$2:$X$302,$A33)</f>
        <v>-628.341318650809</v>
      </c>
      <c r="E33" s="12" t="n">
        <f aca="false">SUMIFS(Trades!$W$2:$W$302,Trades!$X$2:$X$302,$A33)</f>
        <v>-628.341318650809</v>
      </c>
      <c r="F33" s="16" t="n">
        <f aca="false">IF(B33=0,0,COUNTIFS(Trades!$X$2:$X$302,$A33,Trades!$W$2:$W$302,"&gt;0")/B33)</f>
        <v>0.551724137931035</v>
      </c>
    </row>
    <row r="34" customFormat="false" ht="15" hidden="false" customHeight="false" outlineLevel="0" collapsed="false">
      <c r="A34" s="7" t="s">
        <v>84</v>
      </c>
      <c r="B34" s="11" t="n">
        <f aca="false">COUNTIFS(Trades!$X$2:$X$302,$A34)</f>
        <v>15</v>
      </c>
      <c r="C34" s="12" t="n">
        <f aca="false">SUMIFS(Trades!$S$2:$S$302,Trades!$X$2:$X$302,$A34)</f>
        <v>178.254404315643</v>
      </c>
      <c r="D34" s="12" t="n">
        <f aca="false">SUMIFS(Trades!$P$2:$P$302,Trades!$X$2:$X$302,$A34)</f>
        <v>-281.074703085134</v>
      </c>
      <c r="E34" s="12" t="n">
        <f aca="false">SUMIFS(Trades!$W$2:$W$302,Trades!$X$2:$X$302,$A34)</f>
        <v>-281.074703085134</v>
      </c>
      <c r="F34" s="16" t="n">
        <f aca="false">IF(B34=0,0,COUNTIFS(Trades!$X$2:$X$302,$A34,Trades!$W$2:$W$302,"&gt;0")/B34)</f>
        <v>0.6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6"/>
    <col collapsed="false" customWidth="true" hidden="false" outlineLevel="0" max="3" min="3" style="0" width="70"/>
    <col collapsed="false" customWidth="true" hidden="false" outlineLevel="0" max="4" min="4" style="0" width="44"/>
  </cols>
  <sheetData>
    <row r="1" customFormat="false" ht="15" hidden="false" customHeight="false" outlineLevel="0" collapsed="false">
      <c r="A1" s="6" t="s">
        <v>85</v>
      </c>
      <c r="B1" s="6" t="s">
        <v>86</v>
      </c>
      <c r="C1" s="6" t="s">
        <v>87</v>
      </c>
      <c r="D1" s="6" t="s">
        <v>88</v>
      </c>
    </row>
    <row r="2" customFormat="false" ht="15" hidden="false" customHeight="false" outlineLevel="0" collapsed="false">
      <c r="A2" s="2" t="s">
        <v>89</v>
      </c>
      <c r="B2" s="24" t="n">
        <v>5000</v>
      </c>
      <c r="C2" s="2" t="s">
        <v>90</v>
      </c>
      <c r="D2" s="2" t="s">
        <v>91</v>
      </c>
    </row>
    <row r="3" customFormat="false" ht="15" hidden="false" customHeight="false" outlineLevel="0" collapsed="false">
      <c r="A3" s="2" t="s">
        <v>92</v>
      </c>
      <c r="B3" s="24" t="n">
        <v>10</v>
      </c>
      <c r="C3" s="2" t="s">
        <v>93</v>
      </c>
      <c r="D3" s="2" t="s">
        <v>91</v>
      </c>
    </row>
    <row r="4" customFormat="false" ht="23.85" hidden="false" customHeight="false" outlineLevel="0" collapsed="false">
      <c r="A4" s="2" t="s">
        <v>94</v>
      </c>
      <c r="B4" s="24" t="n">
        <v>100</v>
      </c>
      <c r="C4" s="2" t="s">
        <v>95</v>
      </c>
      <c r="D4" s="2" t="s">
        <v>96</v>
      </c>
    </row>
    <row r="5" customFormat="false" ht="15" hidden="false" customHeight="false" outlineLevel="0" collapsed="false">
      <c r="A5" s="2" t="s">
        <v>97</v>
      </c>
      <c r="B5" s="24" t="n">
        <v>88</v>
      </c>
      <c r="C5" s="2" t="s">
        <v>98</v>
      </c>
      <c r="D5" s="25" t="s">
        <v>99</v>
      </c>
    </row>
    <row r="6" customFormat="false" ht="15" hidden="false" customHeight="false" outlineLevel="0" collapsed="false">
      <c r="A6" s="2" t="s">
        <v>100</v>
      </c>
      <c r="B6" s="24" t="s">
        <v>101</v>
      </c>
      <c r="C6" s="2" t="s">
        <v>102</v>
      </c>
      <c r="D6" s="2" t="s">
        <v>103</v>
      </c>
    </row>
    <row r="7" customFormat="false" ht="35.05" hidden="false" customHeight="false" outlineLevel="0" collapsed="false">
      <c r="A7" s="2" t="s">
        <v>104</v>
      </c>
      <c r="B7" s="24" t="s">
        <v>105</v>
      </c>
      <c r="C7" s="2" t="s">
        <v>106</v>
      </c>
      <c r="D7" s="2" t="s">
        <v>103</v>
      </c>
    </row>
    <row r="8" customFormat="false" ht="23.85" hidden="false" customHeight="false" outlineLevel="0" collapsed="false">
      <c r="A8" s="2" t="s">
        <v>107</v>
      </c>
      <c r="B8" s="24" t="s">
        <v>108</v>
      </c>
      <c r="C8" s="2" t="s">
        <v>109</v>
      </c>
      <c r="D8" s="2" t="s">
        <v>103</v>
      </c>
    </row>
    <row r="9" customFormat="false" ht="15" hidden="false" customHeight="false" outlineLevel="0" collapsed="false">
      <c r="A9" s="2" t="s">
        <v>110</v>
      </c>
      <c r="B9" s="24" t="n">
        <v>1</v>
      </c>
      <c r="C9" s="2" t="s">
        <v>111</v>
      </c>
      <c r="D9" s="2" t="s">
        <v>103</v>
      </c>
    </row>
    <row r="10" customFormat="false" ht="46.25" hidden="false" customHeight="false" outlineLevel="0" collapsed="false">
      <c r="A10" s="2" t="s">
        <v>112</v>
      </c>
      <c r="B10" s="24" t="s">
        <v>113</v>
      </c>
      <c r="C10" s="2" t="s">
        <v>114</v>
      </c>
      <c r="D10" s="2" t="s">
        <v>103</v>
      </c>
    </row>
    <row r="11" customFormat="false" ht="35.05" hidden="false" customHeight="false" outlineLevel="0" collapsed="false">
      <c r="A11" s="2" t="s">
        <v>115</v>
      </c>
      <c r="B11" s="24" t="s">
        <v>116</v>
      </c>
      <c r="C11" s="2" t="s">
        <v>117</v>
      </c>
      <c r="D11" s="2" t="s">
        <v>118</v>
      </c>
    </row>
    <row r="12" customFormat="false" ht="15" hidden="false" customHeight="false" outlineLevel="0" collapsed="false">
      <c r="A12" s="2" t="s">
        <v>119</v>
      </c>
      <c r="B12" s="26" t="n">
        <v>0.0015</v>
      </c>
      <c r="C12" s="2" t="s">
        <v>120</v>
      </c>
      <c r="D12" s="2" t="s">
        <v>121</v>
      </c>
    </row>
    <row r="13" customFormat="false" ht="23.85" hidden="false" customHeight="false" outlineLevel="0" collapsed="false">
      <c r="A13" s="2" t="s">
        <v>122</v>
      </c>
      <c r="B13" s="26" t="n">
        <v>0.0045</v>
      </c>
      <c r="C13" s="2" t="s">
        <v>123</v>
      </c>
      <c r="D13" s="25" t="s">
        <v>124</v>
      </c>
    </row>
    <row r="14" customFormat="false" ht="23.85" hidden="false" customHeight="false" outlineLevel="0" collapsed="false">
      <c r="A14" s="2" t="s">
        <v>125</v>
      </c>
      <c r="B14" s="24" t="s">
        <v>126</v>
      </c>
      <c r="C14" s="2" t="s">
        <v>127</v>
      </c>
      <c r="D14" s="2" t="s">
        <v>128</v>
      </c>
    </row>
    <row r="15" customFormat="false" ht="35.05" hidden="false" customHeight="false" outlineLevel="0" collapsed="false">
      <c r="A15" s="2" t="s">
        <v>129</v>
      </c>
      <c r="B15" s="24" t="s">
        <v>130</v>
      </c>
      <c r="C15" s="2" t="s">
        <v>131</v>
      </c>
      <c r="D15" s="2" t="s">
        <v>132</v>
      </c>
    </row>
    <row r="16" customFormat="false" ht="23.85" hidden="false" customHeight="false" outlineLevel="0" collapsed="false">
      <c r="A16" s="2" t="s">
        <v>133</v>
      </c>
      <c r="B16" s="24" t="s">
        <v>134</v>
      </c>
      <c r="C16" s="2" t="s">
        <v>135</v>
      </c>
      <c r="D16" s="2" t="s">
        <v>136</v>
      </c>
    </row>
    <row r="17" customFormat="false" ht="15" hidden="false" customHeight="false" outlineLevel="0" collapsed="false">
      <c r="A17" s="2" t="s">
        <v>137</v>
      </c>
      <c r="B17" s="24" t="s">
        <v>138</v>
      </c>
      <c r="C17" s="2" t="s">
        <v>139</v>
      </c>
      <c r="D17" s="25" t="s">
        <v>140</v>
      </c>
    </row>
    <row r="18" customFormat="false" ht="15" hidden="false" customHeight="false" outlineLevel="0" collapsed="false">
      <c r="A18" s="2" t="s">
        <v>141</v>
      </c>
      <c r="B18" s="26" t="n">
        <v>0.0006</v>
      </c>
      <c r="C18" s="2" t="s">
        <v>142</v>
      </c>
      <c r="D18" s="25" t="s">
        <v>143</v>
      </c>
    </row>
    <row r="19" customFormat="false" ht="15" hidden="false" customHeight="false" outlineLevel="0" collapsed="false">
      <c r="A19" s="2" t="s">
        <v>144</v>
      </c>
      <c r="B19" s="24" t="n">
        <v>0.15</v>
      </c>
      <c r="C19" s="2" t="s">
        <v>145</v>
      </c>
      <c r="D19" s="25" t="s">
        <v>146</v>
      </c>
    </row>
    <row r="20" customFormat="false" ht="15" hidden="false" customHeight="false" outlineLevel="0" collapsed="false">
      <c r="A20" s="2" t="s">
        <v>147</v>
      </c>
      <c r="B20" s="24" t="s">
        <v>148</v>
      </c>
      <c r="C20" s="2" t="s">
        <v>149</v>
      </c>
      <c r="D20" s="25" t="s">
        <v>146</v>
      </c>
    </row>
    <row r="21" customFormat="false" ht="23.85" hidden="false" customHeight="false" outlineLevel="0" collapsed="false">
      <c r="A21" s="2" t="s">
        <v>22</v>
      </c>
      <c r="B21" s="27" t="n">
        <v>0.00059</v>
      </c>
      <c r="C21" s="2" t="s">
        <v>150</v>
      </c>
      <c r="D21" s="25" t="s">
        <v>151</v>
      </c>
    </row>
    <row r="22" customFormat="false" ht="15" hidden="false" customHeight="false" outlineLevel="0" collapsed="false">
      <c r="A22" s="2" t="s">
        <v>152</v>
      </c>
      <c r="B22" s="24" t="n">
        <v>0</v>
      </c>
      <c r="C22" s="2" t="s">
        <v>153</v>
      </c>
      <c r="D22" s="25" t="s">
        <v>154</v>
      </c>
    </row>
    <row r="23" customFormat="false" ht="15" hidden="false" customHeight="false" outlineLevel="0" collapsed="false">
      <c r="A23" s="2" t="s">
        <v>24</v>
      </c>
      <c r="B23" s="27" t="n">
        <v>0.0002</v>
      </c>
      <c r="C23" s="2" t="s">
        <v>155</v>
      </c>
      <c r="D23" s="25" t="s">
        <v>156</v>
      </c>
    </row>
    <row r="24" customFormat="false" ht="15" hidden="false" customHeight="false" outlineLevel="0" collapsed="false">
      <c r="A24" s="2" t="s">
        <v>157</v>
      </c>
      <c r="B24" s="27" t="n">
        <v>0.0001</v>
      </c>
      <c r="C24" s="2" t="s">
        <v>158</v>
      </c>
      <c r="D24" s="25" t="s">
        <v>159</v>
      </c>
    </row>
    <row r="25" customFormat="false" ht="15" hidden="false" customHeight="false" outlineLevel="0" collapsed="false">
      <c r="A25" s="2" t="s">
        <v>160</v>
      </c>
      <c r="B25" s="26" t="n">
        <v>0.005</v>
      </c>
      <c r="C25" s="2" t="s">
        <v>161</v>
      </c>
      <c r="D25" s="25" t="s">
        <v>154</v>
      </c>
    </row>
    <row r="26" customFormat="false" ht="15" hidden="false" customHeight="false" outlineLevel="0" collapsed="false">
      <c r="A26" s="2" t="s">
        <v>162</v>
      </c>
      <c r="B26" s="24" t="n">
        <v>500</v>
      </c>
      <c r="C26" s="2" t="s">
        <v>163</v>
      </c>
      <c r="D26" s="25" t="s">
        <v>164</v>
      </c>
    </row>
    <row r="27" customFormat="false" ht="23.85" hidden="false" customHeight="false" outlineLevel="0" collapsed="false">
      <c r="A27" s="2" t="s">
        <v>165</v>
      </c>
      <c r="B27" s="24" t="s">
        <v>166</v>
      </c>
      <c r="C27" s="2" t="s">
        <v>167</v>
      </c>
      <c r="D27" s="25" t="s">
        <v>164</v>
      </c>
    </row>
    <row r="28" customFormat="false" ht="46.25" hidden="false" customHeight="false" outlineLevel="0" collapsed="false">
      <c r="A28" s="2" t="s">
        <v>168</v>
      </c>
      <c r="B28" s="24" t="s">
        <v>169</v>
      </c>
      <c r="C28" s="2" t="s">
        <v>170</v>
      </c>
      <c r="D28" s="2" t="s">
        <v>171</v>
      </c>
    </row>
    <row r="29" customFormat="false" ht="57.45" hidden="false" customHeight="false" outlineLevel="0" collapsed="false">
      <c r="A29" s="2" t="s">
        <v>172</v>
      </c>
      <c r="B29" s="24" t="s">
        <v>173</v>
      </c>
      <c r="C29" s="2" t="s">
        <v>174</v>
      </c>
      <c r="D29" s="2" t="s">
        <v>175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30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5" ySplit="1" topLeftCell="F2" activePane="bottomRight" state="frozen"/>
      <selection pane="topLeft" activeCell="A1" activeCellId="0" sqref="A1"/>
      <selection pane="topRight" activeCell="F1" activeCellId="0" sqref="F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6"/>
    <col collapsed="false" customWidth="true" hidden="false" outlineLevel="0" max="3" min="3" style="0" width="10"/>
    <col collapsed="false" customWidth="true" hidden="false" outlineLevel="0" max="4" min="4" style="0" width="9"/>
    <col collapsed="false" customWidth="true" hidden="false" outlineLevel="0" max="5" min="5" style="0" width="7"/>
    <col collapsed="false" customWidth="true" hidden="false" outlineLevel="0" max="6" min="6" style="0" width="16"/>
    <col collapsed="false" customWidth="true" hidden="false" outlineLevel="0" max="7" min="7" style="0" width="14"/>
    <col collapsed="false" customWidth="true" hidden="false" outlineLevel="0" max="8" min="8" style="0" width="11"/>
    <col collapsed="false" customWidth="true" hidden="false" outlineLevel="0" max="9" min="9" style="0" width="16"/>
    <col collapsed="false" customWidth="true" hidden="false" outlineLevel="0" max="11" min="10" style="0" width="14"/>
    <col collapsed="false" customWidth="true" hidden="false" outlineLevel="0" max="12" min="12" style="0" width="9"/>
    <col collapsed="false" customWidth="true" hidden="false" outlineLevel="0" max="13" min="13" style="0" width="11"/>
    <col collapsed="false" customWidth="true" hidden="false" outlineLevel="0" max="14" min="14" style="0" width="8"/>
    <col collapsed="false" customWidth="true" hidden="false" outlineLevel="0" max="15" min="15" style="0" width="14"/>
    <col collapsed="false" customWidth="true" hidden="false" outlineLevel="0" max="16" min="16" style="0" width="12"/>
    <col collapsed="false" customWidth="true" hidden="false" outlineLevel="0" max="17" min="17" style="0" width="11"/>
    <col collapsed="false" customWidth="true" hidden="false" outlineLevel="0" max="18" min="18" style="0" width="13"/>
    <col collapsed="false" customWidth="true" hidden="false" outlineLevel="0" max="20" min="19" style="0" width="14"/>
    <col collapsed="false" customWidth="true" hidden="false" outlineLevel="0" max="22" min="21" style="0" width="12"/>
    <col collapsed="false" customWidth="true" hidden="false" outlineLevel="0" max="23" min="23" style="0" width="14"/>
    <col collapsed="false" customWidth="true" hidden="false" outlineLevel="0" max="24" min="24" style="0" width="9"/>
  </cols>
  <sheetData>
    <row r="1" customFormat="false" ht="54" hidden="false" customHeight="true" outlineLevel="0" collapsed="false">
      <c r="A1" s="6" t="s">
        <v>176</v>
      </c>
      <c r="B1" s="6" t="s">
        <v>177</v>
      </c>
      <c r="C1" s="6" t="s">
        <v>178</v>
      </c>
      <c r="D1" s="6" t="s">
        <v>179</v>
      </c>
      <c r="E1" s="6" t="s">
        <v>180</v>
      </c>
      <c r="F1" s="6" t="s">
        <v>181</v>
      </c>
      <c r="G1" s="6" t="s">
        <v>182</v>
      </c>
      <c r="H1" s="6" t="s">
        <v>183</v>
      </c>
      <c r="I1" s="6" t="s">
        <v>184</v>
      </c>
      <c r="J1" s="6" t="s">
        <v>185</v>
      </c>
      <c r="K1" s="6" t="s">
        <v>186</v>
      </c>
      <c r="L1" s="6" t="s">
        <v>187</v>
      </c>
      <c r="M1" s="6" t="s">
        <v>188</v>
      </c>
      <c r="N1" s="6" t="s">
        <v>189</v>
      </c>
      <c r="O1" s="6" t="s">
        <v>190</v>
      </c>
      <c r="P1" s="6" t="s">
        <v>55</v>
      </c>
      <c r="Q1" s="6" t="s">
        <v>191</v>
      </c>
      <c r="R1" s="6" t="s">
        <v>192</v>
      </c>
      <c r="S1" s="6" t="s">
        <v>193</v>
      </c>
      <c r="T1" s="6" t="s">
        <v>194</v>
      </c>
      <c r="U1" s="6" t="s">
        <v>195</v>
      </c>
      <c r="V1" s="6" t="s">
        <v>196</v>
      </c>
      <c r="W1" s="6" t="s">
        <v>56</v>
      </c>
      <c r="X1" s="6" t="s">
        <v>197</v>
      </c>
    </row>
    <row r="2" customFormat="false" ht="15" hidden="false" customHeight="false" outlineLevel="0" collapsed="false">
      <c r="A2" s="7" t="s">
        <v>198</v>
      </c>
      <c r="B2" s="7" t="s">
        <v>199</v>
      </c>
      <c r="C2" s="7" t="s">
        <v>64</v>
      </c>
      <c r="D2" s="7" t="s">
        <v>59</v>
      </c>
      <c r="E2" s="7" t="s">
        <v>66</v>
      </c>
      <c r="F2" s="28" t="n">
        <v>46022.8125</v>
      </c>
      <c r="G2" s="29" t="n">
        <v>88972.09086</v>
      </c>
      <c r="H2" s="29" t="n">
        <v>88672.5913</v>
      </c>
      <c r="I2" s="28" t="n">
        <v>46022.8125</v>
      </c>
      <c r="J2" s="29" t="n">
        <v>89100.101524978</v>
      </c>
      <c r="K2" s="7" t="s">
        <v>69</v>
      </c>
      <c r="L2" s="30" t="n">
        <v>0.003</v>
      </c>
      <c r="M2" s="12" t="n">
        <f aca="false">L2*G2*Settings!$B$5</f>
        <v>23488.63198704</v>
      </c>
      <c r="N2" s="31" t="n">
        <f aca="false">(I2-F2)*24</f>
        <v>0</v>
      </c>
      <c r="O2" s="12" t="n">
        <v>34.1393132808663</v>
      </c>
      <c r="P2" s="12" t="n">
        <v>6.42272753615905</v>
      </c>
      <c r="Q2" s="12" t="n">
        <f aca="false">2*Calculator!$C$5*M2</f>
        <v>27.7165857447072</v>
      </c>
      <c r="R2" s="12" t="n">
        <f aca="false">O2-P2-Q2</f>
        <v>0</v>
      </c>
      <c r="S2" s="12" t="n">
        <f aca="false">O2+2*Calculator!$C$6*M2</f>
        <v>43.5347660756823</v>
      </c>
      <c r="T2" s="12" t="n">
        <f aca="false">S2-2*Calculator!$B$6*M2</f>
        <v>34.1393132808663</v>
      </c>
      <c r="U2" s="12" t="n">
        <f aca="false">2*Calculator!$B$5*M2</f>
        <v>27.7165857447072</v>
      </c>
      <c r="V2" s="12" t="n">
        <f aca="false">R2*Calculator!$B$7/Calculator!$C$7</f>
        <v>0</v>
      </c>
      <c r="W2" s="14" t="n">
        <f aca="false">T2-U2-V2</f>
        <v>6.42272753615904</v>
      </c>
      <c r="X2" s="7" t="str">
        <f aca="false">LEFT(A2,7)</f>
        <v>2025-12</v>
      </c>
    </row>
    <row r="3" customFormat="false" ht="15" hidden="false" customHeight="false" outlineLevel="0" collapsed="false">
      <c r="A3" s="7" t="s">
        <v>200</v>
      </c>
      <c r="B3" s="7" t="s">
        <v>201</v>
      </c>
      <c r="C3" s="7" t="s">
        <v>63</v>
      </c>
      <c r="D3" s="7" t="s">
        <v>60</v>
      </c>
      <c r="E3" s="7" t="s">
        <v>67</v>
      </c>
      <c r="F3" s="28" t="n">
        <v>46023.5625</v>
      </c>
      <c r="G3" s="29" t="n">
        <v>87586.17926</v>
      </c>
      <c r="H3" s="29" t="n">
        <v>88031.86875</v>
      </c>
      <c r="I3" s="28" t="n">
        <v>46023.78125</v>
      </c>
      <c r="J3" s="29" t="n">
        <v>87957.98808</v>
      </c>
      <c r="K3" s="7" t="s">
        <v>71</v>
      </c>
      <c r="L3" s="30" t="n">
        <v>0.002</v>
      </c>
      <c r="M3" s="12" t="n">
        <f aca="false">L3*G3*Settings!$B$5</f>
        <v>15415.16754976</v>
      </c>
      <c r="N3" s="31" t="n">
        <f aca="false">(I3-F3)*24</f>
        <v>5.25</v>
      </c>
      <c r="O3" s="12" t="n">
        <v>-65.4383523199984</v>
      </c>
      <c r="P3" s="12" t="n">
        <v>-84.6398703991682</v>
      </c>
      <c r="Q3" s="12" t="n">
        <f aca="false">2*Calculator!$C$5*M3</f>
        <v>18.1898977087168</v>
      </c>
      <c r="R3" s="12" t="n">
        <f aca="false">O3-P3-Q3</f>
        <v>1.011620370453</v>
      </c>
      <c r="S3" s="12" t="n">
        <f aca="false">O3+2*Calculator!$C$6*M3</f>
        <v>-59.2722853000944</v>
      </c>
      <c r="T3" s="12" t="n">
        <f aca="false">S3-2*Calculator!$B$6*M3</f>
        <v>-65.4383523199984</v>
      </c>
      <c r="U3" s="12" t="n">
        <f aca="false">2*Calculator!$B$5*M3</f>
        <v>18.1898977087168</v>
      </c>
      <c r="V3" s="12" t="n">
        <f aca="false">R3*Calculator!$B$7/Calculator!$C$7</f>
        <v>1.011620370453</v>
      </c>
      <c r="W3" s="14" t="n">
        <f aca="false">T3-U3-V3</f>
        <v>-84.6398703991682</v>
      </c>
      <c r="X3" s="7" t="str">
        <f aca="false">LEFT(A3,7)</f>
        <v>2026-01</v>
      </c>
    </row>
    <row r="4" customFormat="false" ht="15" hidden="false" customHeight="false" outlineLevel="0" collapsed="false">
      <c r="A4" s="7" t="s">
        <v>202</v>
      </c>
      <c r="B4" s="7" t="s">
        <v>203</v>
      </c>
      <c r="C4" s="7" t="s">
        <v>63</v>
      </c>
      <c r="D4" s="7" t="s">
        <v>60</v>
      </c>
      <c r="E4" s="7" t="s">
        <v>67</v>
      </c>
      <c r="F4" s="28" t="n">
        <v>46024.5625</v>
      </c>
      <c r="G4" s="29" t="n">
        <v>88811.53414</v>
      </c>
      <c r="H4" s="29" t="n">
        <v>89283.3753</v>
      </c>
      <c r="I4" s="28" t="n">
        <v>46024.6041666667</v>
      </c>
      <c r="J4" s="29" t="n">
        <v>89301.23197506</v>
      </c>
      <c r="K4" s="7" t="s">
        <v>70</v>
      </c>
      <c r="L4" s="30" t="n">
        <v>0.002</v>
      </c>
      <c r="M4" s="12" t="n">
        <f aca="false">L4*G4*Settings!$B$5</f>
        <v>15630.83000864</v>
      </c>
      <c r="N4" s="31" t="n">
        <f aca="false">(I4-F4)*24</f>
        <v>1</v>
      </c>
      <c r="O4" s="12" t="n">
        <v>-86.1868189705568</v>
      </c>
      <c r="P4" s="12" t="n">
        <v>-104.82658375586</v>
      </c>
      <c r="Q4" s="12" t="n">
        <f aca="false">2*Calculator!$C$5*M4</f>
        <v>18.4443794101952</v>
      </c>
      <c r="R4" s="12" t="n">
        <f aca="false">O4-P4-Q4</f>
        <v>0.195385375107954</v>
      </c>
      <c r="S4" s="12" t="n">
        <f aca="false">O4+2*Calculator!$C$6*M4</f>
        <v>-79.9344869671008</v>
      </c>
      <c r="T4" s="12" t="n">
        <f aca="false">S4-2*Calculator!$B$6*M4</f>
        <v>-86.1868189705568</v>
      </c>
      <c r="U4" s="12" t="n">
        <f aca="false">2*Calculator!$B$5*M4</f>
        <v>18.4443794101952</v>
      </c>
      <c r="V4" s="12" t="n">
        <f aca="false">R4*Calculator!$B$7/Calculator!$C$7</f>
        <v>0.195385375107954</v>
      </c>
      <c r="W4" s="14" t="n">
        <f aca="false">T4-U4-V4</f>
        <v>-104.82658375586</v>
      </c>
      <c r="X4" s="7" t="str">
        <f aca="false">LEFT(A4,7)</f>
        <v>2026-01</v>
      </c>
    </row>
    <row r="5" customFormat="false" ht="15" hidden="false" customHeight="false" outlineLevel="0" collapsed="false">
      <c r="A5" s="7" t="s">
        <v>204</v>
      </c>
      <c r="B5" s="7" t="s">
        <v>205</v>
      </c>
      <c r="C5" s="7" t="s">
        <v>63</v>
      </c>
      <c r="D5" s="7" t="s">
        <v>60</v>
      </c>
      <c r="E5" s="7" t="s">
        <v>67</v>
      </c>
      <c r="F5" s="28" t="n">
        <v>46025.5729166667</v>
      </c>
      <c r="G5" s="29" t="n">
        <v>89467.30296</v>
      </c>
      <c r="H5" s="29" t="n">
        <v>89957.9975</v>
      </c>
      <c r="I5" s="28" t="n">
        <v>46025.7604166667</v>
      </c>
      <c r="J5" s="29" t="n">
        <v>89975.9890995</v>
      </c>
      <c r="K5" s="7" t="s">
        <v>70</v>
      </c>
      <c r="L5" s="30" t="n">
        <v>0.002</v>
      </c>
      <c r="M5" s="12" t="n">
        <f aca="false">L5*G5*Settings!$B$5</f>
        <v>15746.24532096</v>
      </c>
      <c r="N5" s="31" t="n">
        <f aca="false">(I5-F5)*24</f>
        <v>4.5</v>
      </c>
      <c r="O5" s="12" t="n">
        <v>-89.5287605520003</v>
      </c>
      <c r="P5" s="12" t="n">
        <v>-108.995056330037</v>
      </c>
      <c r="Q5" s="12" t="n">
        <f aca="false">2*Calculator!$C$5*M5</f>
        <v>18.5805694787328</v>
      </c>
      <c r="R5" s="12" t="n">
        <f aca="false">O5-P5-Q5</f>
        <v>0.885726299303954</v>
      </c>
      <c r="S5" s="12" t="n">
        <f aca="false">O5+2*Calculator!$C$6*M5</f>
        <v>-83.2302624236163</v>
      </c>
      <c r="T5" s="12" t="n">
        <f aca="false">S5-2*Calculator!$B$6*M5</f>
        <v>-89.5287605520003</v>
      </c>
      <c r="U5" s="12" t="n">
        <f aca="false">2*Calculator!$B$5*M5</f>
        <v>18.5805694787328</v>
      </c>
      <c r="V5" s="12" t="n">
        <f aca="false">R5*Calculator!$B$7/Calculator!$C$7</f>
        <v>0.885726299303954</v>
      </c>
      <c r="W5" s="14" t="n">
        <f aca="false">T5-U5-V5</f>
        <v>-108.995056330037</v>
      </c>
      <c r="X5" s="7" t="str">
        <f aca="false">LEFT(A5,7)</f>
        <v>2026-01</v>
      </c>
    </row>
    <row r="6" customFormat="false" ht="15" hidden="false" customHeight="false" outlineLevel="0" collapsed="false">
      <c r="A6" s="7" t="s">
        <v>206</v>
      </c>
      <c r="B6" s="7" t="s">
        <v>207</v>
      </c>
      <c r="C6" s="7" t="s">
        <v>64</v>
      </c>
      <c r="D6" s="7" t="s">
        <v>61</v>
      </c>
      <c r="E6" s="7" t="s">
        <v>66</v>
      </c>
      <c r="F6" s="28" t="n">
        <v>46026.84375</v>
      </c>
      <c r="G6" s="29" t="n">
        <v>91188.234</v>
      </c>
      <c r="H6" s="29" t="n">
        <v>91094.1535</v>
      </c>
      <c r="I6" s="28" t="n">
        <v>46026.84375</v>
      </c>
      <c r="J6" s="29" t="n">
        <v>91315.8683473651</v>
      </c>
      <c r="K6" s="7" t="s">
        <v>72</v>
      </c>
      <c r="L6" s="30" t="n">
        <v>0.006</v>
      </c>
      <c r="M6" s="12" t="n">
        <f aca="false">L6*G6*Settings!$B$5</f>
        <v>48147.387552</v>
      </c>
      <c r="N6" s="31" t="n">
        <f aca="false">(I6-F6)*24</f>
        <v>0</v>
      </c>
      <c r="O6" s="12" t="n">
        <v>41.29687122399</v>
      </c>
      <c r="P6" s="12" t="n">
        <v>-15.51704608737</v>
      </c>
      <c r="Q6" s="12" t="n">
        <f aca="false">2*Calculator!$C$5*M6</f>
        <v>56.81391731136</v>
      </c>
      <c r="R6" s="12" t="n">
        <f aca="false">O6-P6-Q6</f>
        <v>0</v>
      </c>
      <c r="S6" s="12" t="n">
        <f aca="false">O6+2*Calculator!$C$6*M6</f>
        <v>60.55582624479</v>
      </c>
      <c r="T6" s="12" t="n">
        <f aca="false">S6-2*Calculator!$B$6*M6</f>
        <v>41.29687122399</v>
      </c>
      <c r="U6" s="12" t="n">
        <f aca="false">2*Calculator!$B$5*M6</f>
        <v>56.81391731136</v>
      </c>
      <c r="V6" s="12" t="n">
        <f aca="false">R6*Calculator!$B$7/Calculator!$C$7</f>
        <v>0</v>
      </c>
      <c r="W6" s="14" t="n">
        <f aca="false">T6-U6-V6</f>
        <v>-15.51704608737</v>
      </c>
      <c r="X6" s="7" t="str">
        <f aca="false">LEFT(A6,7)</f>
        <v>2026-01</v>
      </c>
    </row>
    <row r="7" customFormat="false" ht="15" hidden="false" customHeight="false" outlineLevel="0" collapsed="false">
      <c r="A7" s="7" t="s">
        <v>208</v>
      </c>
      <c r="B7" s="7" t="s">
        <v>209</v>
      </c>
      <c r="C7" s="7" t="s">
        <v>63</v>
      </c>
      <c r="D7" s="7" t="s">
        <v>60</v>
      </c>
      <c r="E7" s="7" t="s">
        <v>66</v>
      </c>
      <c r="F7" s="28" t="n">
        <v>46028.5625</v>
      </c>
      <c r="G7" s="29" t="n">
        <v>93226.04148</v>
      </c>
      <c r="H7" s="29" t="n">
        <v>92741.27775</v>
      </c>
      <c r="I7" s="28" t="n">
        <v>46028.6041666667</v>
      </c>
      <c r="J7" s="29" t="n">
        <v>93349.9353456865</v>
      </c>
      <c r="K7" s="7" t="s">
        <v>69</v>
      </c>
      <c r="L7" s="30" t="n">
        <v>0.002</v>
      </c>
      <c r="M7" s="12" t="n">
        <f aca="false">L7*G7*Settings!$B$5</f>
        <v>16407.78330048</v>
      </c>
      <c r="N7" s="31" t="n">
        <f aca="false">(I7-F7)*24</f>
        <v>1</v>
      </c>
      <c r="O7" s="12" t="n">
        <v>30.5872200495427</v>
      </c>
      <c r="P7" s="12" t="n">
        <v>11.0209384637203</v>
      </c>
      <c r="Q7" s="12" t="n">
        <f aca="false">2*Calculator!$C$5*M7</f>
        <v>19.3611842945664</v>
      </c>
      <c r="R7" s="12" t="n">
        <f aca="false">O7-P7-Q7</f>
        <v>0.205097291255996</v>
      </c>
      <c r="S7" s="12" t="n">
        <f aca="false">O7+2*Calculator!$C$6*M7</f>
        <v>37.1503333697347</v>
      </c>
      <c r="T7" s="12" t="n">
        <f aca="false">S7-2*Calculator!$B$6*M7</f>
        <v>30.5872200495427</v>
      </c>
      <c r="U7" s="12" t="n">
        <f aca="false">2*Calculator!$B$5*M7</f>
        <v>19.3611842945664</v>
      </c>
      <c r="V7" s="12" t="n">
        <f aca="false">R7*Calculator!$B$7/Calculator!$C$7</f>
        <v>0.205097291255996</v>
      </c>
      <c r="W7" s="14" t="n">
        <f aca="false">T7-U7-V7</f>
        <v>11.0209384637203</v>
      </c>
      <c r="X7" s="7" t="str">
        <f aca="false">LEFT(A7,7)</f>
        <v>2026-01</v>
      </c>
    </row>
    <row r="8" customFormat="false" ht="15" hidden="false" customHeight="false" outlineLevel="0" collapsed="false">
      <c r="A8" s="7" t="s">
        <v>208</v>
      </c>
      <c r="B8" s="7" t="s">
        <v>209</v>
      </c>
      <c r="C8" s="7" t="s">
        <v>64</v>
      </c>
      <c r="D8" s="7" t="s">
        <v>60</v>
      </c>
      <c r="E8" s="7" t="s">
        <v>66</v>
      </c>
      <c r="F8" s="28" t="n">
        <v>46028.8125</v>
      </c>
      <c r="G8" s="29" t="n">
        <v>93696.7356</v>
      </c>
      <c r="H8" s="29" t="n">
        <v>93198.61045</v>
      </c>
      <c r="I8" s="28" t="n">
        <v>46028.8229166667</v>
      </c>
      <c r="J8" s="29" t="n">
        <v>94006.6636187575</v>
      </c>
      <c r="K8" s="7" t="s">
        <v>69</v>
      </c>
      <c r="L8" s="30" t="n">
        <v>0.002</v>
      </c>
      <c r="M8" s="12" t="n">
        <f aca="false">L8*G8*Settings!$B$5</f>
        <v>16490.6254656</v>
      </c>
      <c r="N8" s="31" t="n">
        <f aca="false">(I8-F8)*24</f>
        <v>0.25</v>
      </c>
      <c r="O8" s="12" t="n">
        <v>47.5377262027813</v>
      </c>
      <c r="P8" s="12" t="n">
        <v>28.0530215510833</v>
      </c>
      <c r="Q8" s="12" t="n">
        <f aca="false">2*Calculator!$C$5*M8</f>
        <v>19.458938049408</v>
      </c>
      <c r="R8" s="12" t="n">
        <f aca="false">O8-P8-Q8</f>
        <v>0.0257666022900089</v>
      </c>
      <c r="S8" s="12" t="n">
        <f aca="false">O8+2*Calculator!$C$6*M8</f>
        <v>54.1339763890213</v>
      </c>
      <c r="T8" s="12" t="n">
        <f aca="false">S8-2*Calculator!$B$6*M8</f>
        <v>47.5377262027813</v>
      </c>
      <c r="U8" s="12" t="n">
        <f aca="false">2*Calculator!$B$5*M8</f>
        <v>19.458938049408</v>
      </c>
      <c r="V8" s="12" t="n">
        <f aca="false">R8*Calculator!$B$7/Calculator!$C$7</f>
        <v>0.0257666022900089</v>
      </c>
      <c r="W8" s="14" t="n">
        <f aca="false">T8-U8-V8</f>
        <v>28.0530215510833</v>
      </c>
      <c r="X8" s="7" t="str">
        <f aca="false">LEFT(A8,7)</f>
        <v>2026-01</v>
      </c>
    </row>
    <row r="9" customFormat="false" ht="15" hidden="false" customHeight="false" outlineLevel="0" collapsed="false">
      <c r="A9" s="7" t="s">
        <v>210</v>
      </c>
      <c r="B9" s="7" t="s">
        <v>203</v>
      </c>
      <c r="C9" s="7" t="s">
        <v>63</v>
      </c>
      <c r="D9" s="7" t="s">
        <v>59</v>
      </c>
      <c r="E9" s="7" t="s">
        <v>67</v>
      </c>
      <c r="F9" s="28" t="n">
        <v>46031.5625</v>
      </c>
      <c r="G9" s="29" t="n">
        <v>90693.95758</v>
      </c>
      <c r="H9" s="29" t="n">
        <v>91002.8999</v>
      </c>
      <c r="I9" s="28" t="n">
        <v>46031.5625</v>
      </c>
      <c r="J9" s="29" t="n">
        <v>90511.834327116</v>
      </c>
      <c r="K9" s="7" t="s">
        <v>69</v>
      </c>
      <c r="L9" s="30" t="n">
        <v>0.003</v>
      </c>
      <c r="M9" s="12" t="n">
        <f aca="false">L9*G9*Settings!$B$5</f>
        <v>23943.20480112</v>
      </c>
      <c r="N9" s="31" t="n">
        <f aca="false">(I9-F9)*24</f>
        <v>0</v>
      </c>
      <c r="O9" s="12" t="n">
        <v>44.05365962659</v>
      </c>
      <c r="P9" s="12" t="n">
        <v>15.8006779612684</v>
      </c>
      <c r="Q9" s="12" t="n">
        <f aca="false">2*Calculator!$C$5*M9</f>
        <v>28.2529816653216</v>
      </c>
      <c r="R9" s="12" t="n">
        <f aca="false">O9-P9-Q9</f>
        <v>0</v>
      </c>
      <c r="S9" s="12" t="n">
        <f aca="false">O9+2*Calculator!$C$6*M9</f>
        <v>53.630941547038</v>
      </c>
      <c r="T9" s="12" t="n">
        <f aca="false">S9-2*Calculator!$B$6*M9</f>
        <v>44.05365962659</v>
      </c>
      <c r="U9" s="12" t="n">
        <f aca="false">2*Calculator!$B$5*M9</f>
        <v>28.2529816653216</v>
      </c>
      <c r="V9" s="12" t="n">
        <f aca="false">R9*Calculator!$B$7/Calculator!$C$7</f>
        <v>0</v>
      </c>
      <c r="W9" s="14" t="n">
        <f aca="false">T9-U9-V9</f>
        <v>15.8006779612684</v>
      </c>
      <c r="X9" s="7" t="str">
        <f aca="false">LEFT(A9,7)</f>
        <v>2026-01</v>
      </c>
    </row>
    <row r="10" customFormat="false" ht="15" hidden="false" customHeight="false" outlineLevel="0" collapsed="false">
      <c r="A10" s="7" t="s">
        <v>211</v>
      </c>
      <c r="B10" s="7" t="s">
        <v>207</v>
      </c>
      <c r="C10" s="7" t="s">
        <v>64</v>
      </c>
      <c r="D10" s="7" t="s">
        <v>60</v>
      </c>
      <c r="E10" s="7" t="s">
        <v>66</v>
      </c>
      <c r="F10" s="28" t="n">
        <v>46033.8125</v>
      </c>
      <c r="G10" s="29" t="n">
        <v>90830.06238</v>
      </c>
      <c r="H10" s="29" t="n">
        <v>90371.49</v>
      </c>
      <c r="I10" s="28" t="n">
        <v>46033.8541666667</v>
      </c>
      <c r="J10" s="29" t="n">
        <v>91010.251213619</v>
      </c>
      <c r="K10" s="7" t="s">
        <v>69</v>
      </c>
      <c r="L10" s="30" t="n">
        <v>0.002</v>
      </c>
      <c r="M10" s="12" t="n">
        <f aca="false">L10*G10*Settings!$B$5</f>
        <v>15986.09097888</v>
      </c>
      <c r="N10" s="31" t="n">
        <f aca="false">(I10-F10)*24</f>
        <v>1</v>
      </c>
      <c r="O10" s="12" t="n">
        <v>34.4311575436418</v>
      </c>
      <c r="P10" s="12" t="n">
        <v>15.3927223184819</v>
      </c>
      <c r="Q10" s="12" t="n">
        <f aca="false">2*Calculator!$C$5*M10</f>
        <v>18.8635873550784</v>
      </c>
      <c r="R10" s="12" t="n">
        <f aca="false">O10-P10-Q10</f>
        <v>0.1748478700815</v>
      </c>
      <c r="S10" s="12" t="n">
        <f aca="false">O10+2*Calculator!$C$6*M10</f>
        <v>40.8255939351938</v>
      </c>
      <c r="T10" s="12" t="n">
        <f aca="false">S10-2*Calculator!$B$6*M10</f>
        <v>34.4311575436418</v>
      </c>
      <c r="U10" s="12" t="n">
        <f aca="false">2*Calculator!$B$5*M10</f>
        <v>18.8635873550784</v>
      </c>
      <c r="V10" s="12" t="n">
        <f aca="false">R10*Calculator!$B$7/Calculator!$C$7</f>
        <v>0.1748478700815</v>
      </c>
      <c r="W10" s="14" t="n">
        <f aca="false">T10-U10-V10</f>
        <v>15.3927223184819</v>
      </c>
      <c r="X10" s="7" t="str">
        <f aca="false">LEFT(A10,7)</f>
        <v>2026-01</v>
      </c>
    </row>
    <row r="11" customFormat="false" ht="15" hidden="false" customHeight="false" outlineLevel="0" collapsed="false">
      <c r="A11" s="7" t="s">
        <v>212</v>
      </c>
      <c r="B11" s="7" t="s">
        <v>213</v>
      </c>
      <c r="C11" s="7" t="s">
        <v>63</v>
      </c>
      <c r="D11" s="7" t="s">
        <v>59</v>
      </c>
      <c r="E11" s="7" t="s">
        <v>67</v>
      </c>
      <c r="F11" s="28" t="n">
        <v>46034.5625</v>
      </c>
      <c r="G11" s="29" t="n">
        <v>91350.92616</v>
      </c>
      <c r="H11" s="29" t="n">
        <v>91624.8314</v>
      </c>
      <c r="I11" s="28" t="n">
        <v>46034.5833333333</v>
      </c>
      <c r="J11" s="29" t="n">
        <v>90537.580205262</v>
      </c>
      <c r="K11" s="7" t="s">
        <v>69</v>
      </c>
      <c r="L11" s="30" t="n">
        <v>0.004</v>
      </c>
      <c r="M11" s="12" t="n">
        <f aca="false">L11*G11*Settings!$B$5</f>
        <v>32155.52600832</v>
      </c>
      <c r="N11" s="31" t="n">
        <f aca="false">(I11-F11)*24</f>
        <v>0.5</v>
      </c>
      <c r="O11" s="12" t="n">
        <v>164.04181728528</v>
      </c>
      <c r="P11" s="12" t="n">
        <v>125.897324557911</v>
      </c>
      <c r="Q11" s="12" t="n">
        <f aca="false">2*Calculator!$C$5*M11</f>
        <v>37.9435206898176</v>
      </c>
      <c r="R11" s="12" t="n">
        <f aca="false">O11-P11-Q11</f>
        <v>0.200972037551992</v>
      </c>
      <c r="S11" s="12" t="n">
        <f aca="false">O11+2*Calculator!$C$6*M11</f>
        <v>176.904027688608</v>
      </c>
      <c r="T11" s="12" t="n">
        <f aca="false">S11-2*Calculator!$B$6*M11</f>
        <v>164.04181728528</v>
      </c>
      <c r="U11" s="12" t="n">
        <f aca="false">2*Calculator!$B$5*M11</f>
        <v>37.9435206898176</v>
      </c>
      <c r="V11" s="12" t="n">
        <f aca="false">R11*Calculator!$B$7/Calculator!$C$7</f>
        <v>0.200972037551992</v>
      </c>
      <c r="W11" s="14" t="n">
        <f aca="false">T11-U11-V11</f>
        <v>125.897324557911</v>
      </c>
      <c r="X11" s="7" t="str">
        <f aca="false">LEFT(A11,7)</f>
        <v>2026-01</v>
      </c>
    </row>
    <row r="12" customFormat="false" ht="15" hidden="false" customHeight="false" outlineLevel="0" collapsed="false">
      <c r="A12" s="7" t="s">
        <v>212</v>
      </c>
      <c r="B12" s="7" t="s">
        <v>213</v>
      </c>
      <c r="C12" s="7" t="s">
        <v>64</v>
      </c>
      <c r="D12" s="7" t="s">
        <v>60</v>
      </c>
      <c r="E12" s="7" t="s">
        <v>66</v>
      </c>
      <c r="F12" s="28" t="n">
        <v>46034.8125</v>
      </c>
      <c r="G12" s="29" t="n">
        <v>90614.81934</v>
      </c>
      <c r="H12" s="29" t="n">
        <v>90148.39845</v>
      </c>
      <c r="I12" s="28" t="n">
        <v>46034.8229166667</v>
      </c>
      <c r="J12" s="29" t="n">
        <v>90130.36877031</v>
      </c>
      <c r="K12" s="7" t="s">
        <v>70</v>
      </c>
      <c r="L12" s="30" t="n">
        <v>0.002</v>
      </c>
      <c r="M12" s="12" t="n">
        <f aca="false">L12*G12*Settings!$B$5</f>
        <v>15948.20820384</v>
      </c>
      <c r="N12" s="31" t="n">
        <f aca="false">(I12-F12)*24</f>
        <v>0.25</v>
      </c>
      <c r="O12" s="12" t="n">
        <v>-85.2633002654403</v>
      </c>
      <c r="P12" s="12" t="n">
        <v>-104.132024096608</v>
      </c>
      <c r="Q12" s="12" t="n">
        <f aca="false">2*Calculator!$C$5*M12</f>
        <v>18.8188856805312</v>
      </c>
      <c r="R12" s="12" t="n">
        <f aca="false">O12-P12-Q12</f>
        <v>0.0498381506369512</v>
      </c>
      <c r="S12" s="12" t="n">
        <f aca="false">O12+2*Calculator!$C$6*M12</f>
        <v>-78.8840169839043</v>
      </c>
      <c r="T12" s="12" t="n">
        <f aca="false">S12-2*Calculator!$B$6*M12</f>
        <v>-85.2633002654403</v>
      </c>
      <c r="U12" s="12" t="n">
        <f aca="false">2*Calculator!$B$5*M12</f>
        <v>18.8188856805312</v>
      </c>
      <c r="V12" s="12" t="n">
        <f aca="false">R12*Calculator!$B$7/Calculator!$C$7</f>
        <v>0.0498381506369512</v>
      </c>
      <c r="W12" s="14" t="n">
        <f aca="false">T12-U12-V12</f>
        <v>-104.132024096608</v>
      </c>
      <c r="X12" s="7" t="str">
        <f aca="false">LEFT(A12,7)</f>
        <v>2026-01</v>
      </c>
    </row>
    <row r="13" customFormat="false" ht="15" hidden="false" customHeight="false" outlineLevel="0" collapsed="false">
      <c r="A13" s="7" t="s">
        <v>214</v>
      </c>
      <c r="B13" s="7" t="s">
        <v>209</v>
      </c>
      <c r="C13" s="7" t="s">
        <v>63</v>
      </c>
      <c r="D13" s="7" t="s">
        <v>60</v>
      </c>
      <c r="E13" s="7" t="s">
        <v>66</v>
      </c>
      <c r="F13" s="28" t="n">
        <v>46035.5625</v>
      </c>
      <c r="G13" s="29" t="n">
        <v>91926.3816</v>
      </c>
      <c r="H13" s="29" t="n">
        <v>91485.15585</v>
      </c>
      <c r="I13" s="28" t="n">
        <v>46035.6041666667</v>
      </c>
      <c r="J13" s="29" t="n">
        <v>92105.9686837875</v>
      </c>
      <c r="K13" s="7" t="s">
        <v>69</v>
      </c>
      <c r="L13" s="30" t="n">
        <v>0.002</v>
      </c>
      <c r="M13" s="12" t="n">
        <f aca="false">L13*G13*Settings!$B$5</f>
        <v>16179.0431616</v>
      </c>
      <c r="N13" s="31" t="n">
        <f aca="false">(I13-F13)*24</f>
        <v>1</v>
      </c>
      <c r="O13" s="12" t="n">
        <v>33.5958092705408</v>
      </c>
      <c r="P13" s="12" t="n">
        <v>14.3528598102128</v>
      </c>
      <c r="Q13" s="12" t="n">
        <f aca="false">2*Calculator!$C$5*M13</f>
        <v>19.091270930688</v>
      </c>
      <c r="R13" s="12" t="n">
        <f aca="false">O13-P13-Q13</f>
        <v>0.151678529640002</v>
      </c>
      <c r="S13" s="12" t="n">
        <f aca="false">O13+2*Calculator!$C$6*M13</f>
        <v>40.0674265351808</v>
      </c>
      <c r="T13" s="12" t="n">
        <f aca="false">S13-2*Calculator!$B$6*M13</f>
        <v>33.5958092705408</v>
      </c>
      <c r="U13" s="12" t="n">
        <f aca="false">2*Calculator!$B$5*M13</f>
        <v>19.091270930688</v>
      </c>
      <c r="V13" s="12" t="n">
        <f aca="false">R13*Calculator!$B$7/Calculator!$C$7</f>
        <v>0.151678529640002</v>
      </c>
      <c r="W13" s="14" t="n">
        <f aca="false">T13-U13-V13</f>
        <v>14.3528598102128</v>
      </c>
      <c r="X13" s="7" t="str">
        <f aca="false">LEFT(A13,7)</f>
        <v>2026-01</v>
      </c>
    </row>
    <row r="14" customFormat="false" ht="15" hidden="false" customHeight="false" outlineLevel="0" collapsed="false">
      <c r="A14" s="7" t="s">
        <v>214</v>
      </c>
      <c r="B14" s="7" t="s">
        <v>209</v>
      </c>
      <c r="C14" s="7" t="s">
        <v>64</v>
      </c>
      <c r="D14" s="7" t="s">
        <v>60</v>
      </c>
      <c r="E14" s="7" t="s">
        <v>66</v>
      </c>
      <c r="F14" s="28" t="n">
        <v>46035.8229166667</v>
      </c>
      <c r="G14" s="29" t="n">
        <v>91946.98572</v>
      </c>
      <c r="H14" s="29" t="n">
        <v>91423.03665</v>
      </c>
      <c r="I14" s="28" t="n">
        <v>46035.8333333333</v>
      </c>
      <c r="J14" s="29" t="n">
        <v>92738.4613299535</v>
      </c>
      <c r="K14" s="7" t="s">
        <v>69</v>
      </c>
      <c r="L14" s="30" t="n">
        <v>0.002</v>
      </c>
      <c r="M14" s="12" t="n">
        <f aca="false">L14*G14*Settings!$B$5</f>
        <v>16182.66948672</v>
      </c>
      <c r="N14" s="31" t="n">
        <f aca="false">(I14-F14)*24</f>
        <v>0.250000000465556</v>
      </c>
      <c r="O14" s="12" t="n">
        <v>91.08073505542</v>
      </c>
      <c r="P14" s="12" t="n">
        <v>71.9598996400174</v>
      </c>
      <c r="Q14" s="12" t="n">
        <f aca="false">2*Calculator!$C$5*M14</f>
        <v>19.0955499943296</v>
      </c>
      <c r="R14" s="12" t="n">
        <f aca="false">O14-P14-Q14</f>
        <v>0.0252854210729936</v>
      </c>
      <c r="S14" s="12" t="n">
        <f aca="false">O14+2*Calculator!$C$6*M14</f>
        <v>97.553802850108</v>
      </c>
      <c r="T14" s="12" t="n">
        <f aca="false">S14-2*Calculator!$B$6*M14</f>
        <v>91.08073505542</v>
      </c>
      <c r="U14" s="12" t="n">
        <f aca="false">2*Calculator!$B$5*M14</f>
        <v>19.0955499943296</v>
      </c>
      <c r="V14" s="12" t="n">
        <f aca="false">R14*Calculator!$B$7/Calculator!$C$7</f>
        <v>0.0252854210729936</v>
      </c>
      <c r="W14" s="14" t="n">
        <f aca="false">T14-U14-V14</f>
        <v>71.9598996400174</v>
      </c>
      <c r="X14" s="7" t="str">
        <f aca="false">LEFT(A14,7)</f>
        <v>2026-01</v>
      </c>
    </row>
    <row r="15" customFormat="false" ht="15" hidden="false" customHeight="false" outlineLevel="0" collapsed="false">
      <c r="A15" s="7" t="s">
        <v>215</v>
      </c>
      <c r="B15" s="7" t="s">
        <v>199</v>
      </c>
      <c r="C15" s="7" t="s">
        <v>63</v>
      </c>
      <c r="D15" s="7" t="s">
        <v>59</v>
      </c>
      <c r="E15" s="7" t="s">
        <v>66</v>
      </c>
      <c r="F15" s="28" t="n">
        <v>46036.5625</v>
      </c>
      <c r="G15" s="29" t="n">
        <v>95185.63332</v>
      </c>
      <c r="H15" s="29" t="n">
        <v>94867.18545</v>
      </c>
      <c r="I15" s="28" t="n">
        <v>46036.59375</v>
      </c>
      <c r="J15" s="29" t="n">
        <v>94848.21201291</v>
      </c>
      <c r="K15" s="7" t="s">
        <v>70</v>
      </c>
      <c r="L15" s="30" t="n">
        <v>0.003</v>
      </c>
      <c r="M15" s="12" t="n">
        <f aca="false">L15*G15*Settings!$B$5</f>
        <v>25129.00719648</v>
      </c>
      <c r="N15" s="31" t="n">
        <f aca="false">(I15-F15)*24</f>
        <v>0.75</v>
      </c>
      <c r="O15" s="12" t="n">
        <v>-89.0792250717601</v>
      </c>
      <c r="P15" s="12" t="n">
        <v>-118.967038006074</v>
      </c>
      <c r="Q15" s="12" t="n">
        <f aca="false">2*Calculator!$C$5*M15</f>
        <v>29.6522284918464</v>
      </c>
      <c r="R15" s="12" t="n">
        <f aca="false">O15-P15-Q15</f>
        <v>0.235584442466973</v>
      </c>
      <c r="S15" s="12" t="n">
        <f aca="false">O15+2*Calculator!$C$6*M15</f>
        <v>-79.0276221931681</v>
      </c>
      <c r="T15" s="12" t="n">
        <f aca="false">S15-2*Calculator!$B$6*M15</f>
        <v>-89.0792250717601</v>
      </c>
      <c r="U15" s="12" t="n">
        <f aca="false">2*Calculator!$B$5*M15</f>
        <v>29.6522284918464</v>
      </c>
      <c r="V15" s="12" t="n">
        <f aca="false">R15*Calculator!$B$7/Calculator!$C$7</f>
        <v>0.235584442466973</v>
      </c>
      <c r="W15" s="14" t="n">
        <f aca="false">T15-U15-V15</f>
        <v>-118.967038006074</v>
      </c>
      <c r="X15" s="7" t="str">
        <f aca="false">LEFT(A15,7)</f>
        <v>2026-01</v>
      </c>
    </row>
    <row r="16" customFormat="false" ht="15" hidden="false" customHeight="false" outlineLevel="0" collapsed="false">
      <c r="A16" s="7" t="s">
        <v>216</v>
      </c>
      <c r="B16" s="7" t="s">
        <v>201</v>
      </c>
      <c r="C16" s="7" t="s">
        <v>64</v>
      </c>
      <c r="D16" s="7" t="s">
        <v>60</v>
      </c>
      <c r="E16" s="7" t="s">
        <v>67</v>
      </c>
      <c r="F16" s="28" t="n">
        <v>46037.8125</v>
      </c>
      <c r="G16" s="29" t="n">
        <v>96781.53982</v>
      </c>
      <c r="H16" s="29" t="n">
        <v>97332.2329</v>
      </c>
      <c r="I16" s="28" t="n">
        <v>46037.84375</v>
      </c>
      <c r="J16" s="29" t="n">
        <v>95922.453924654</v>
      </c>
      <c r="K16" s="7" t="s">
        <v>69</v>
      </c>
      <c r="L16" s="30" t="n">
        <v>0.002</v>
      </c>
      <c r="M16" s="12" t="n">
        <f aca="false">L16*G16*Settings!$B$5</f>
        <v>17033.55100832</v>
      </c>
      <c r="N16" s="31" t="n">
        <f aca="false">(I16-F16)*24</f>
        <v>0.75</v>
      </c>
      <c r="O16" s="12" t="n">
        <v>98.1315453087183</v>
      </c>
      <c r="P16" s="12" t="n">
        <v>77.8988805016483</v>
      </c>
      <c r="Q16" s="12" t="n">
        <f aca="false">2*Calculator!$C$5*M16</f>
        <v>20.0995901898176</v>
      </c>
      <c r="R16" s="12" t="n">
        <f aca="false">O16-P16-Q16</f>
        <v>0.133074617252461</v>
      </c>
      <c r="S16" s="12" t="n">
        <f aca="false">O16+2*Calculator!$C$6*M16</f>
        <v>104.944965712046</v>
      </c>
      <c r="T16" s="12" t="n">
        <f aca="false">S16-2*Calculator!$B$6*M16</f>
        <v>98.1315453087183</v>
      </c>
      <c r="U16" s="12" t="n">
        <f aca="false">2*Calculator!$B$5*M16</f>
        <v>20.0995901898176</v>
      </c>
      <c r="V16" s="12" t="n">
        <f aca="false">R16*Calculator!$B$7/Calculator!$C$7</f>
        <v>0.133074617252461</v>
      </c>
      <c r="W16" s="14" t="n">
        <f aca="false">T16-U16-V16</f>
        <v>77.8988805016483</v>
      </c>
      <c r="X16" s="7" t="str">
        <f aca="false">LEFT(A16,7)</f>
        <v>2026-01</v>
      </c>
    </row>
    <row r="17" customFormat="false" ht="15" hidden="false" customHeight="false" outlineLevel="0" collapsed="false">
      <c r="A17" s="7" t="s">
        <v>217</v>
      </c>
      <c r="B17" s="7" t="s">
        <v>203</v>
      </c>
      <c r="C17" s="7" t="s">
        <v>64</v>
      </c>
      <c r="D17" s="7" t="s">
        <v>60</v>
      </c>
      <c r="E17" s="7" t="s">
        <v>67</v>
      </c>
      <c r="F17" s="28" t="n">
        <v>46038.8229166667</v>
      </c>
      <c r="G17" s="29" t="n">
        <v>95385.4191</v>
      </c>
      <c r="H17" s="29" t="n">
        <v>95967.82055</v>
      </c>
      <c r="I17" s="28" t="n">
        <v>46038.8541666667</v>
      </c>
      <c r="J17" s="29" t="n">
        <v>95169.9305425725</v>
      </c>
      <c r="K17" s="7" t="s">
        <v>69</v>
      </c>
      <c r="L17" s="30" t="n">
        <v>0.001</v>
      </c>
      <c r="M17" s="12" t="n">
        <f aca="false">L17*G17*Settings!$B$5</f>
        <v>8393.9168808</v>
      </c>
      <c r="N17" s="31" t="n">
        <f aca="false">(I17-F17)*24</f>
        <v>0.75</v>
      </c>
      <c r="O17" s="12" t="n">
        <v>18.9629930536196</v>
      </c>
      <c r="P17" s="12" t="n">
        <v>8.97947816351814</v>
      </c>
      <c r="Q17" s="12" t="n">
        <f aca="false">2*Calculator!$C$5*M17</f>
        <v>9.904821919344</v>
      </c>
      <c r="R17" s="12" t="n">
        <f aca="false">O17-P17-Q17</f>
        <v>0.078692970757503</v>
      </c>
      <c r="S17" s="12" t="n">
        <f aca="false">O17+2*Calculator!$C$6*M17</f>
        <v>22.3205598059396</v>
      </c>
      <c r="T17" s="12" t="n">
        <f aca="false">S17-2*Calculator!$B$6*M17</f>
        <v>18.9629930536196</v>
      </c>
      <c r="U17" s="12" t="n">
        <f aca="false">2*Calculator!$B$5*M17</f>
        <v>9.904821919344</v>
      </c>
      <c r="V17" s="12" t="n">
        <f aca="false">R17*Calculator!$B$7/Calculator!$C$7</f>
        <v>0.078692970757503</v>
      </c>
      <c r="W17" s="14" t="n">
        <f aca="false">T17-U17-V17</f>
        <v>8.97947816351814</v>
      </c>
      <c r="X17" s="7" t="str">
        <f aca="false">LEFT(A17,7)</f>
        <v>2026-01</v>
      </c>
    </row>
    <row r="18" customFormat="false" ht="15" hidden="false" customHeight="false" outlineLevel="0" collapsed="false">
      <c r="A18" s="7" t="s">
        <v>218</v>
      </c>
      <c r="B18" s="7" t="s">
        <v>205</v>
      </c>
      <c r="C18" s="7" t="s">
        <v>63</v>
      </c>
      <c r="D18" s="7" t="s">
        <v>59</v>
      </c>
      <c r="E18" s="7" t="s">
        <v>67</v>
      </c>
      <c r="F18" s="28" t="n">
        <v>46039.5625</v>
      </c>
      <c r="G18" s="29" t="n">
        <v>95042.08778</v>
      </c>
      <c r="H18" s="29" t="n">
        <v>95244.8533</v>
      </c>
      <c r="I18" s="28" t="n">
        <v>46039.625</v>
      </c>
      <c r="J18" s="29" t="n">
        <v>95263.90227066</v>
      </c>
      <c r="K18" s="7" t="s">
        <v>70</v>
      </c>
      <c r="L18" s="30" t="n">
        <v>0.005</v>
      </c>
      <c r="M18" s="12" t="n">
        <f aca="false">L18*G18*Settings!$B$5</f>
        <v>41818.5186232</v>
      </c>
      <c r="N18" s="31" t="n">
        <f aca="false">(I18-F18)*24</f>
        <v>1.5</v>
      </c>
      <c r="O18" s="12" t="n">
        <v>-97.5983758903964</v>
      </c>
      <c r="P18" s="12" t="n">
        <v>-147.728325089958</v>
      </c>
      <c r="Q18" s="12" t="n">
        <f aca="false">2*Calculator!$C$5*M18</f>
        <v>49.345851975376</v>
      </c>
      <c r="R18" s="12" t="n">
        <f aca="false">O18-P18-Q18</f>
        <v>0.784097224185061</v>
      </c>
      <c r="S18" s="12" t="n">
        <f aca="false">O18+2*Calculator!$C$6*M18</f>
        <v>-80.8709684411165</v>
      </c>
      <c r="T18" s="12" t="n">
        <f aca="false">S18-2*Calculator!$B$6*M18</f>
        <v>-97.5983758903965</v>
      </c>
      <c r="U18" s="12" t="n">
        <f aca="false">2*Calculator!$B$5*M18</f>
        <v>49.345851975376</v>
      </c>
      <c r="V18" s="12" t="n">
        <f aca="false">R18*Calculator!$B$7/Calculator!$C$7</f>
        <v>0.784097224185061</v>
      </c>
      <c r="W18" s="14" t="n">
        <f aca="false">T18-U18-V18</f>
        <v>-147.728325089958</v>
      </c>
      <c r="X18" s="7" t="str">
        <f aca="false">LEFT(A18,7)</f>
        <v>2026-01</v>
      </c>
    </row>
    <row r="19" customFormat="false" ht="15" hidden="false" customHeight="false" outlineLevel="0" collapsed="false">
      <c r="A19" s="7" t="s">
        <v>219</v>
      </c>
      <c r="B19" s="7" t="s">
        <v>207</v>
      </c>
      <c r="C19" s="7" t="s">
        <v>63</v>
      </c>
      <c r="D19" s="7" t="s">
        <v>60</v>
      </c>
      <c r="E19" s="7" t="s">
        <v>67</v>
      </c>
      <c r="F19" s="28" t="n">
        <v>46040.5625</v>
      </c>
      <c r="G19" s="29" t="n">
        <v>94970.90202</v>
      </c>
      <c r="H19" s="29" t="n">
        <v>95500.8285</v>
      </c>
      <c r="I19" s="28" t="n">
        <v>46040.78125</v>
      </c>
      <c r="J19" s="29" t="n">
        <v>95019</v>
      </c>
      <c r="K19" s="7" t="s">
        <v>71</v>
      </c>
      <c r="L19" s="30" t="n">
        <v>0.002</v>
      </c>
      <c r="M19" s="12" t="n">
        <f aca="false">L19*G19*Settings!$B$5</f>
        <v>16714.87875552</v>
      </c>
      <c r="N19" s="31" t="n">
        <f aca="false">(I19-F19)*24</f>
        <v>5.25</v>
      </c>
      <c r="O19" s="12" t="n">
        <v>-8.46524448000104</v>
      </c>
      <c r="P19" s="12" t="n">
        <v>-29.2857153298456</v>
      </c>
      <c r="Q19" s="12" t="n">
        <f aca="false">2*Calculator!$C$5*M19</f>
        <v>19.7235569315136</v>
      </c>
      <c r="R19" s="12" t="n">
        <f aca="false">O19-P19-Q19</f>
        <v>1.096913918331</v>
      </c>
      <c r="S19" s="12" t="n">
        <f aca="false">O19+2*Calculator!$C$6*M19</f>
        <v>-1.77929297779304</v>
      </c>
      <c r="T19" s="12" t="n">
        <f aca="false">S19-2*Calculator!$B$6*M19</f>
        <v>-8.46524448000104</v>
      </c>
      <c r="U19" s="12" t="n">
        <f aca="false">2*Calculator!$B$5*M19</f>
        <v>19.7235569315136</v>
      </c>
      <c r="V19" s="12" t="n">
        <f aca="false">R19*Calculator!$B$7/Calculator!$C$7</f>
        <v>1.096913918331</v>
      </c>
      <c r="W19" s="14" t="n">
        <f aca="false">T19-U19-V19</f>
        <v>-29.2857153298456</v>
      </c>
      <c r="X19" s="7" t="str">
        <f aca="false">LEFT(A19,7)</f>
        <v>2026-01</v>
      </c>
    </row>
    <row r="20" customFormat="false" ht="15" hidden="false" customHeight="false" outlineLevel="0" collapsed="false">
      <c r="A20" s="7" t="s">
        <v>219</v>
      </c>
      <c r="B20" s="7" t="s">
        <v>207</v>
      </c>
      <c r="C20" s="7" t="s">
        <v>64</v>
      </c>
      <c r="D20" s="7" t="s">
        <v>60</v>
      </c>
      <c r="E20" s="7" t="s">
        <v>67</v>
      </c>
      <c r="F20" s="28" t="n">
        <v>46040.8125</v>
      </c>
      <c r="G20" s="29" t="n">
        <v>95085.979</v>
      </c>
      <c r="H20" s="29" t="n">
        <v>95586.211</v>
      </c>
      <c r="I20" s="28" t="n">
        <v>46041.0520833333</v>
      </c>
      <c r="J20" s="29" t="n">
        <v>95378.77194</v>
      </c>
      <c r="K20" s="7" t="s">
        <v>71</v>
      </c>
      <c r="L20" s="30" t="n">
        <v>0.002</v>
      </c>
      <c r="M20" s="12" t="n">
        <f aca="false">L20*G20*Settings!$B$5</f>
        <v>16735.132304</v>
      </c>
      <c r="N20" s="31" t="n">
        <f aca="false">(I20-F20)*24</f>
        <v>5.75</v>
      </c>
      <c r="O20" s="12" t="n">
        <v>-51.5315574399973</v>
      </c>
      <c r="P20" s="12" t="n">
        <v>-72.4818511930673</v>
      </c>
      <c r="Q20" s="12" t="n">
        <f aca="false">2*Calculator!$C$5*M20</f>
        <v>19.74745611872</v>
      </c>
      <c r="R20" s="12" t="n">
        <f aca="false">O20-P20-Q20</f>
        <v>1.20283763435</v>
      </c>
      <c r="S20" s="12" t="n">
        <f aca="false">O20+2*Calculator!$C$6*M20</f>
        <v>-44.8375045183973</v>
      </c>
      <c r="T20" s="12" t="n">
        <f aca="false">S20-2*Calculator!$B$6*M20</f>
        <v>-51.5315574399973</v>
      </c>
      <c r="U20" s="12" t="n">
        <f aca="false">2*Calculator!$B$5*M20</f>
        <v>19.74745611872</v>
      </c>
      <c r="V20" s="12" t="n">
        <f aca="false">R20*Calculator!$B$7/Calculator!$C$7</f>
        <v>1.20283763435</v>
      </c>
      <c r="W20" s="14" t="n">
        <f aca="false">T20-U20-V20</f>
        <v>-72.4818511930673</v>
      </c>
      <c r="X20" s="7" t="str">
        <f aca="false">LEFT(A20,7)</f>
        <v>2026-01</v>
      </c>
    </row>
    <row r="21" customFormat="false" ht="15" hidden="false" customHeight="false" outlineLevel="0" collapsed="false">
      <c r="A21" s="7" t="s">
        <v>220</v>
      </c>
      <c r="B21" s="7" t="s">
        <v>213</v>
      </c>
      <c r="C21" s="7" t="s">
        <v>63</v>
      </c>
      <c r="D21" s="7" t="s">
        <v>59</v>
      </c>
      <c r="E21" s="7" t="s">
        <v>66</v>
      </c>
      <c r="F21" s="28" t="n">
        <v>46041.5625</v>
      </c>
      <c r="G21" s="29" t="n">
        <v>92806.35756</v>
      </c>
      <c r="H21" s="29" t="n">
        <v>92526.10235</v>
      </c>
      <c r="I21" s="28" t="n">
        <v>46041.5729166667</v>
      </c>
      <c r="J21" s="29" t="n">
        <v>93103.5117702605</v>
      </c>
      <c r="K21" s="7" t="s">
        <v>69</v>
      </c>
      <c r="L21" s="30" t="n">
        <v>0.004</v>
      </c>
      <c r="M21" s="12" t="n">
        <f aca="false">L21*G21*Settings!$B$5</f>
        <v>32667.83786112</v>
      </c>
      <c r="N21" s="31" t="n">
        <f aca="false">(I21-F21)*24</f>
        <v>0.25</v>
      </c>
      <c r="O21" s="12" t="n">
        <v>73.6898832080376</v>
      </c>
      <c r="P21" s="12" t="n">
        <v>35.0397475386</v>
      </c>
      <c r="Q21" s="12" t="n">
        <f aca="false">2*Calculator!$C$5*M21</f>
        <v>38.5480486761216</v>
      </c>
      <c r="R21" s="12" t="n">
        <f aca="false">O21-P21-Q21</f>
        <v>0.102086993316014</v>
      </c>
      <c r="S21" s="12" t="n">
        <f aca="false">O21+2*Calculator!$C$6*M21</f>
        <v>86.7570183524856</v>
      </c>
      <c r="T21" s="12" t="n">
        <f aca="false">S21-2*Calculator!$B$6*M21</f>
        <v>73.6898832080376</v>
      </c>
      <c r="U21" s="12" t="n">
        <f aca="false">2*Calculator!$B$5*M21</f>
        <v>38.5480486761216</v>
      </c>
      <c r="V21" s="12" t="n">
        <f aca="false">R21*Calculator!$B$7/Calculator!$C$7</f>
        <v>0.102086993316014</v>
      </c>
      <c r="W21" s="14" t="n">
        <f aca="false">T21-U21-V21</f>
        <v>35.0397475386</v>
      </c>
      <c r="X21" s="7" t="str">
        <f aca="false">LEFT(A21,7)</f>
        <v>2026-01</v>
      </c>
    </row>
    <row r="22" customFormat="false" ht="15" hidden="false" customHeight="false" outlineLevel="0" collapsed="false">
      <c r="A22" s="7" t="s">
        <v>221</v>
      </c>
      <c r="B22" s="7" t="s">
        <v>209</v>
      </c>
      <c r="C22" s="7" t="s">
        <v>63</v>
      </c>
      <c r="D22" s="7" t="s">
        <v>60</v>
      </c>
      <c r="E22" s="7" t="s">
        <v>67</v>
      </c>
      <c r="F22" s="28" t="n">
        <v>46042.5625</v>
      </c>
      <c r="G22" s="29" t="n">
        <v>91117.87278</v>
      </c>
      <c r="H22" s="29" t="n">
        <v>91594.42845</v>
      </c>
      <c r="I22" s="28" t="n">
        <v>46042.5625</v>
      </c>
      <c r="J22" s="29" t="n">
        <v>90896.9146652835</v>
      </c>
      <c r="K22" s="7" t="s">
        <v>69</v>
      </c>
      <c r="L22" s="30" t="n">
        <v>0.002</v>
      </c>
      <c r="M22" s="12" t="n">
        <f aca="false">L22*G22*Settings!$B$5</f>
        <v>16036.74560928</v>
      </c>
      <c r="N22" s="31" t="n">
        <f aca="false">(I22-F22)*24</f>
        <v>0</v>
      </c>
      <c r="O22" s="12" t="n">
        <v>38.8132827040202</v>
      </c>
      <c r="P22" s="12" t="n">
        <v>19.8899228850698</v>
      </c>
      <c r="Q22" s="12" t="n">
        <f aca="false">2*Calculator!$C$5*M22</f>
        <v>18.9233598189504</v>
      </c>
      <c r="R22" s="12" t="n">
        <f aca="false">O22-P22-Q22</f>
        <v>0</v>
      </c>
      <c r="S22" s="12" t="n">
        <f aca="false">O22+2*Calculator!$C$6*M22</f>
        <v>45.2279809477322</v>
      </c>
      <c r="T22" s="12" t="n">
        <f aca="false">S22-2*Calculator!$B$6*M22</f>
        <v>38.8132827040202</v>
      </c>
      <c r="U22" s="12" t="n">
        <f aca="false">2*Calculator!$B$5*M22</f>
        <v>18.9233598189504</v>
      </c>
      <c r="V22" s="12" t="n">
        <f aca="false">R22*Calculator!$B$7/Calculator!$C$7</f>
        <v>0</v>
      </c>
      <c r="W22" s="14" t="n">
        <f aca="false">T22-U22-V22</f>
        <v>19.8899228850698</v>
      </c>
      <c r="X22" s="7" t="str">
        <f aca="false">LEFT(A22,7)</f>
        <v>2026-01</v>
      </c>
    </row>
    <row r="23" customFormat="false" ht="15" hidden="false" customHeight="false" outlineLevel="0" collapsed="false">
      <c r="A23" s="7" t="s">
        <v>221</v>
      </c>
      <c r="B23" s="7" t="s">
        <v>209</v>
      </c>
      <c r="C23" s="7" t="s">
        <v>64</v>
      </c>
      <c r="D23" s="7" t="s">
        <v>60</v>
      </c>
      <c r="E23" s="7" t="s">
        <v>66</v>
      </c>
      <c r="F23" s="28" t="n">
        <v>46042.8333333333</v>
      </c>
      <c r="G23" s="29" t="n">
        <v>90964.88934</v>
      </c>
      <c r="H23" s="29" t="n">
        <v>90326.6925</v>
      </c>
      <c r="I23" s="28" t="n">
        <v>46042.8333333333</v>
      </c>
      <c r="J23" s="29" t="n">
        <v>91167.013739842</v>
      </c>
      <c r="K23" s="7" t="s">
        <v>69</v>
      </c>
      <c r="L23" s="30" t="n">
        <v>0.001</v>
      </c>
      <c r="M23" s="12" t="n">
        <f aca="false">L23*G23*Settings!$B$5</f>
        <v>8004.91026192</v>
      </c>
      <c r="N23" s="31" t="n">
        <f aca="false">(I23-F23)*24</f>
        <v>0</v>
      </c>
      <c r="O23" s="12" t="n">
        <v>17.7869471860969</v>
      </c>
      <c r="P23" s="12" t="n">
        <v>8.34115307703132</v>
      </c>
      <c r="Q23" s="12" t="n">
        <f aca="false">2*Calculator!$C$5*M23</f>
        <v>9.4457941090656</v>
      </c>
      <c r="R23" s="12" t="n">
        <f aca="false">O23-P23-Q23</f>
        <v>0</v>
      </c>
      <c r="S23" s="12" t="n">
        <f aca="false">O23+2*Calculator!$C$6*M23</f>
        <v>20.9889112908649</v>
      </c>
      <c r="T23" s="12" t="n">
        <f aca="false">S23-2*Calculator!$B$6*M23</f>
        <v>17.7869471860969</v>
      </c>
      <c r="U23" s="12" t="n">
        <f aca="false">2*Calculator!$B$5*M23</f>
        <v>9.4457941090656</v>
      </c>
      <c r="V23" s="12" t="n">
        <f aca="false">R23*Calculator!$B$7/Calculator!$C$7</f>
        <v>0</v>
      </c>
      <c r="W23" s="14" t="n">
        <f aca="false">T23-U23-V23</f>
        <v>8.34115307703132</v>
      </c>
      <c r="X23" s="7" t="str">
        <f aca="false">LEFT(A23,7)</f>
        <v>2026-01</v>
      </c>
    </row>
    <row r="24" customFormat="false" ht="15" hidden="false" customHeight="false" outlineLevel="0" collapsed="false">
      <c r="A24" s="7" t="s">
        <v>222</v>
      </c>
      <c r="B24" s="7" t="s">
        <v>199</v>
      </c>
      <c r="C24" s="7" t="s">
        <v>63</v>
      </c>
      <c r="D24" s="7" t="s">
        <v>60</v>
      </c>
      <c r="E24" s="7" t="s">
        <v>66</v>
      </c>
      <c r="F24" s="28" t="n">
        <v>46043.5625</v>
      </c>
      <c r="G24" s="29" t="n">
        <v>89189.13426</v>
      </c>
      <c r="H24" s="29" t="n">
        <v>88724.03705</v>
      </c>
      <c r="I24" s="28" t="n">
        <v>46043.6354166667</v>
      </c>
      <c r="J24" s="29" t="n">
        <v>89314.8591523605</v>
      </c>
      <c r="K24" s="7" t="s">
        <v>69</v>
      </c>
      <c r="L24" s="30" t="n">
        <v>0.002</v>
      </c>
      <c r="M24" s="12" t="n">
        <f aca="false">L24*G24*Settings!$B$5</f>
        <v>15697.28762976</v>
      </c>
      <c r="N24" s="31" t="n">
        <f aca="false">(I24-F24)*24</f>
        <v>1.75</v>
      </c>
      <c r="O24" s="12" t="n">
        <v>29.9542461493011</v>
      </c>
      <c r="P24" s="12" t="n">
        <v>11.1125955912048</v>
      </c>
      <c r="Q24" s="12" t="n">
        <f aca="false">2*Calculator!$C$5*M24</f>
        <v>18.5227994031168</v>
      </c>
      <c r="R24" s="12" t="n">
        <f aca="false">O24-P24-Q24</f>
        <v>0.318851154979495</v>
      </c>
      <c r="S24" s="12" t="n">
        <f aca="false">O24+2*Calculator!$C$6*M24</f>
        <v>36.2331612012051</v>
      </c>
      <c r="T24" s="12" t="n">
        <f aca="false">S24-2*Calculator!$B$6*M24</f>
        <v>29.9542461493011</v>
      </c>
      <c r="U24" s="12" t="n">
        <f aca="false">2*Calculator!$B$5*M24</f>
        <v>18.5227994031168</v>
      </c>
      <c r="V24" s="12" t="n">
        <f aca="false">R24*Calculator!$B$7/Calculator!$C$7</f>
        <v>0.318851154979495</v>
      </c>
      <c r="W24" s="14" t="n">
        <f aca="false">T24-U24-V24</f>
        <v>11.1125955912048</v>
      </c>
      <c r="X24" s="7" t="str">
        <f aca="false">LEFT(A24,7)</f>
        <v>2026-01</v>
      </c>
    </row>
    <row r="25" customFormat="false" ht="15" hidden="false" customHeight="false" outlineLevel="0" collapsed="false">
      <c r="A25" s="7" t="s">
        <v>223</v>
      </c>
      <c r="B25" s="7" t="s">
        <v>201</v>
      </c>
      <c r="C25" s="7" t="s">
        <v>64</v>
      </c>
      <c r="D25" s="7" t="s">
        <v>60</v>
      </c>
      <c r="E25" s="7" t="s">
        <v>66</v>
      </c>
      <c r="F25" s="28" t="n">
        <v>46044.8125</v>
      </c>
      <c r="G25" s="29" t="n">
        <v>89587.914</v>
      </c>
      <c r="H25" s="29" t="n">
        <v>89097.34955</v>
      </c>
      <c r="I25" s="28" t="n">
        <v>46044.8333333333</v>
      </c>
      <c r="J25" s="29" t="n">
        <v>89079.53008009</v>
      </c>
      <c r="K25" s="7" t="s">
        <v>70</v>
      </c>
      <c r="L25" s="30" t="n">
        <v>0.002</v>
      </c>
      <c r="M25" s="12" t="n">
        <f aca="false">L25*G25*Settings!$B$5</f>
        <v>15767.472864</v>
      </c>
      <c r="N25" s="31" t="n">
        <f aca="false">(I25-F25)*24</f>
        <v>0.5</v>
      </c>
      <c r="O25" s="12" t="n">
        <v>-89.4755699041581</v>
      </c>
      <c r="P25" s="12" t="n">
        <v>-108.179734589078</v>
      </c>
      <c r="Q25" s="12" t="n">
        <f aca="false">2*Calculator!$C$5*M25</f>
        <v>18.60561797952</v>
      </c>
      <c r="R25" s="12" t="n">
        <f aca="false">O25-P25-Q25</f>
        <v>0.0985467054000537</v>
      </c>
      <c r="S25" s="12" t="n">
        <f aca="false">O25+2*Calculator!$C$6*M25</f>
        <v>-83.1685807585581</v>
      </c>
      <c r="T25" s="12" t="n">
        <f aca="false">S25-2*Calculator!$B$6*M25</f>
        <v>-89.4755699041581</v>
      </c>
      <c r="U25" s="12" t="n">
        <f aca="false">2*Calculator!$B$5*M25</f>
        <v>18.60561797952</v>
      </c>
      <c r="V25" s="12" t="n">
        <f aca="false">R25*Calculator!$B$7/Calculator!$C$7</f>
        <v>0.0985467054000537</v>
      </c>
      <c r="W25" s="14" t="n">
        <f aca="false">T25-U25-V25</f>
        <v>-108.179734589078</v>
      </c>
      <c r="X25" s="7" t="str">
        <f aca="false">LEFT(A25,7)</f>
        <v>2026-01</v>
      </c>
    </row>
    <row r="26" customFormat="false" ht="15" hidden="false" customHeight="false" outlineLevel="0" collapsed="false">
      <c r="A26" s="7" t="s">
        <v>224</v>
      </c>
      <c r="B26" s="7" t="s">
        <v>203</v>
      </c>
      <c r="C26" s="7" t="s">
        <v>64</v>
      </c>
      <c r="D26" s="7" t="s">
        <v>60</v>
      </c>
      <c r="E26" s="7" t="s">
        <v>67</v>
      </c>
      <c r="F26" s="28" t="n">
        <v>46045.8125</v>
      </c>
      <c r="G26" s="29" t="n">
        <v>89292.6379</v>
      </c>
      <c r="H26" s="29" t="n">
        <v>89723.949</v>
      </c>
      <c r="I26" s="28" t="n">
        <v>46045.8333333333</v>
      </c>
      <c r="J26" s="29" t="n">
        <v>88716.167460555</v>
      </c>
      <c r="K26" s="7" t="s">
        <v>69</v>
      </c>
      <c r="L26" s="30" t="n">
        <v>0.002</v>
      </c>
      <c r="M26" s="12" t="n">
        <f aca="false">L26*G26*Settings!$B$5</f>
        <v>15715.5042704</v>
      </c>
      <c r="N26" s="31" t="n">
        <f aca="false">(I26-F26)*24</f>
        <v>0.5</v>
      </c>
      <c r="O26" s="12" t="n">
        <v>68.1393321817989</v>
      </c>
      <c r="P26" s="12" t="n">
        <v>49.4968152410369</v>
      </c>
      <c r="Q26" s="12" t="n">
        <f aca="false">2*Calculator!$C$5*M26</f>
        <v>18.544295039072</v>
      </c>
      <c r="R26" s="12" t="n">
        <f aca="false">O26-P26-Q26</f>
        <v>0.0982219016899997</v>
      </c>
      <c r="S26" s="12" t="n">
        <f aca="false">O26+2*Calculator!$C$6*M26</f>
        <v>74.4255338899589</v>
      </c>
      <c r="T26" s="12" t="n">
        <f aca="false">S26-2*Calculator!$B$6*M26</f>
        <v>68.1393321817989</v>
      </c>
      <c r="U26" s="12" t="n">
        <f aca="false">2*Calculator!$B$5*M26</f>
        <v>18.544295039072</v>
      </c>
      <c r="V26" s="12" t="n">
        <f aca="false">R26*Calculator!$B$7/Calculator!$C$7</f>
        <v>0.0982219016899997</v>
      </c>
      <c r="W26" s="14" t="n">
        <f aca="false">T26-U26-V26</f>
        <v>49.4968152410369</v>
      </c>
      <c r="X26" s="7" t="str">
        <f aca="false">LEFT(A26,7)</f>
        <v>2026-01</v>
      </c>
    </row>
    <row r="27" customFormat="false" ht="15" hidden="false" customHeight="false" outlineLevel="0" collapsed="false">
      <c r="A27" s="7" t="s">
        <v>225</v>
      </c>
      <c r="B27" s="7" t="s">
        <v>205</v>
      </c>
      <c r="C27" s="7" t="s">
        <v>63</v>
      </c>
      <c r="D27" s="7" t="s">
        <v>60</v>
      </c>
      <c r="E27" s="7" t="s">
        <v>67</v>
      </c>
      <c r="F27" s="28" t="n">
        <v>46046.5625</v>
      </c>
      <c r="G27" s="29" t="n">
        <v>89563.38374</v>
      </c>
      <c r="H27" s="29" t="n">
        <v>90054.0277</v>
      </c>
      <c r="I27" s="28" t="n">
        <v>46046.78125</v>
      </c>
      <c r="J27" s="29" t="n">
        <v>89515.69956</v>
      </c>
      <c r="K27" s="7" t="s">
        <v>71</v>
      </c>
      <c r="L27" s="30" t="n">
        <v>0.002</v>
      </c>
      <c r="M27" s="12" t="n">
        <f aca="false">L27*G27*Settings!$B$5</f>
        <v>15763.15553824</v>
      </c>
      <c r="N27" s="31" t="n">
        <f aca="false">(I27-F27)*24</f>
        <v>5.25</v>
      </c>
      <c r="O27" s="12" t="n">
        <v>8.39241567999939</v>
      </c>
      <c r="P27" s="12" t="n">
        <v>-11.2425649373208</v>
      </c>
      <c r="Q27" s="12" t="n">
        <f aca="false">2*Calculator!$C$5*M27</f>
        <v>18.6005235351232</v>
      </c>
      <c r="R27" s="12" t="n">
        <f aca="false">O27-P27-Q27</f>
        <v>1.034457082197</v>
      </c>
      <c r="S27" s="12" t="n">
        <f aca="false">O27+2*Calculator!$C$6*M27</f>
        <v>14.6976778952954</v>
      </c>
      <c r="T27" s="12" t="n">
        <f aca="false">S27-2*Calculator!$B$6*M27</f>
        <v>8.39241567999939</v>
      </c>
      <c r="U27" s="12" t="n">
        <f aca="false">2*Calculator!$B$5*M27</f>
        <v>18.6005235351232</v>
      </c>
      <c r="V27" s="12" t="n">
        <f aca="false">R27*Calculator!$B$7/Calculator!$C$7</f>
        <v>1.034457082197</v>
      </c>
      <c r="W27" s="14" t="n">
        <f aca="false">T27-U27-V27</f>
        <v>-11.2425649373208</v>
      </c>
      <c r="X27" s="7" t="str">
        <f aca="false">LEFT(A27,7)</f>
        <v>2026-01</v>
      </c>
    </row>
    <row r="28" customFormat="false" ht="15" hidden="false" customHeight="false" outlineLevel="0" collapsed="false">
      <c r="A28" s="7" t="s">
        <v>225</v>
      </c>
      <c r="B28" s="7" t="s">
        <v>205</v>
      </c>
      <c r="C28" s="7" t="s">
        <v>64</v>
      </c>
      <c r="D28" s="7" t="s">
        <v>59</v>
      </c>
      <c r="E28" s="7" t="s">
        <v>67</v>
      </c>
      <c r="F28" s="28" t="n">
        <v>46046.8125</v>
      </c>
      <c r="G28" s="29" t="n">
        <v>89303.83566</v>
      </c>
      <c r="H28" s="29" t="n">
        <v>89608.211</v>
      </c>
      <c r="I28" s="28" t="n">
        <v>46046.8125</v>
      </c>
      <c r="J28" s="29" t="n">
        <v>89225.135293767</v>
      </c>
      <c r="K28" s="7" t="s">
        <v>69</v>
      </c>
      <c r="L28" s="30" t="n">
        <v>0.003</v>
      </c>
      <c r="M28" s="12" t="n">
        <f aca="false">L28*G28*Settings!$B$5</f>
        <v>23576.21261424</v>
      </c>
      <c r="N28" s="31" t="n">
        <f aca="false">(I28-F28)*24</f>
        <v>0</v>
      </c>
      <c r="O28" s="12" t="n">
        <v>25.6747104123831</v>
      </c>
      <c r="P28" s="12" t="n">
        <v>-2.14522047242012</v>
      </c>
      <c r="Q28" s="12" t="n">
        <f aca="false">2*Calculator!$C$5*M28</f>
        <v>27.8199308848032</v>
      </c>
      <c r="R28" s="12" t="n">
        <f aca="false">O28-P28-Q28</f>
        <v>0</v>
      </c>
      <c r="S28" s="12" t="n">
        <f aca="false">O28+2*Calculator!$C$6*M28</f>
        <v>35.1051954580791</v>
      </c>
      <c r="T28" s="12" t="n">
        <f aca="false">S28-2*Calculator!$B$6*M28</f>
        <v>25.6747104123831</v>
      </c>
      <c r="U28" s="12" t="n">
        <f aca="false">2*Calculator!$B$5*M28</f>
        <v>27.8199308848032</v>
      </c>
      <c r="V28" s="12" t="n">
        <f aca="false">R28*Calculator!$B$7/Calculator!$C$7</f>
        <v>0</v>
      </c>
      <c r="W28" s="14" t="n">
        <f aca="false">T28-U28-V28</f>
        <v>-2.14522047242012</v>
      </c>
      <c r="X28" s="7" t="str">
        <f aca="false">LEFT(A28,7)</f>
        <v>2026-01</v>
      </c>
    </row>
    <row r="29" customFormat="false" ht="15" hidden="false" customHeight="false" outlineLevel="0" collapsed="false">
      <c r="A29" s="7" t="s">
        <v>226</v>
      </c>
      <c r="B29" s="7" t="s">
        <v>207</v>
      </c>
      <c r="C29" s="7" t="s">
        <v>63</v>
      </c>
      <c r="D29" s="7" t="s">
        <v>59</v>
      </c>
      <c r="E29" s="7" t="s">
        <v>67</v>
      </c>
      <c r="F29" s="28" t="n">
        <v>46047.5625</v>
      </c>
      <c r="G29" s="29" t="n">
        <v>88612.57394</v>
      </c>
      <c r="H29" s="29" t="n">
        <v>88823.8362</v>
      </c>
      <c r="I29" s="28" t="n">
        <v>46047.5833333333</v>
      </c>
      <c r="J29" s="29" t="n">
        <v>88198.751788113</v>
      </c>
      <c r="K29" s="7" t="s">
        <v>69</v>
      </c>
      <c r="L29" s="30" t="n">
        <v>0.005</v>
      </c>
      <c r="M29" s="12" t="n">
        <f aca="false">L29*G29*Settings!$B$5</f>
        <v>38989.5325336</v>
      </c>
      <c r="N29" s="31" t="n">
        <f aca="false">(I29-F29)*24</f>
        <v>0.5</v>
      </c>
      <c r="O29" s="12" t="n">
        <v>124.724682591255</v>
      </c>
      <c r="P29" s="12" t="n">
        <v>78.473349623272</v>
      </c>
      <c r="Q29" s="12" t="n">
        <f aca="false">2*Calculator!$C$5*M29</f>
        <v>46.007648389648</v>
      </c>
      <c r="R29" s="12" t="n">
        <f aca="false">O29-P29-Q29</f>
        <v>0.243684578335056</v>
      </c>
      <c r="S29" s="12" t="n">
        <f aca="false">O29+2*Calculator!$C$6*M29</f>
        <v>140.320495604695</v>
      </c>
      <c r="T29" s="12" t="n">
        <f aca="false">S29-2*Calculator!$B$6*M29</f>
        <v>124.724682591255</v>
      </c>
      <c r="U29" s="12" t="n">
        <f aca="false">2*Calculator!$B$5*M29</f>
        <v>46.007648389648</v>
      </c>
      <c r="V29" s="12" t="n">
        <f aca="false">R29*Calculator!$B$7/Calculator!$C$7</f>
        <v>0.243684578335056</v>
      </c>
      <c r="W29" s="14" t="n">
        <f aca="false">T29-U29-V29</f>
        <v>78.473349623272</v>
      </c>
      <c r="X29" s="7" t="str">
        <f aca="false">LEFT(A29,7)</f>
        <v>2026-01</v>
      </c>
    </row>
    <row r="30" customFormat="false" ht="15" hidden="false" customHeight="false" outlineLevel="0" collapsed="false">
      <c r="A30" s="7" t="s">
        <v>226</v>
      </c>
      <c r="B30" s="7" t="s">
        <v>207</v>
      </c>
      <c r="C30" s="7" t="s">
        <v>64</v>
      </c>
      <c r="D30" s="7" t="s">
        <v>59</v>
      </c>
      <c r="E30" s="7" t="s">
        <v>66</v>
      </c>
      <c r="F30" s="28" t="n">
        <v>46047.8125</v>
      </c>
      <c r="G30" s="29" t="n">
        <v>88892.87502</v>
      </c>
      <c r="H30" s="29" t="n">
        <v>88679.3811</v>
      </c>
      <c r="I30" s="28" t="n">
        <v>46047.8229166667</v>
      </c>
      <c r="J30" s="29" t="n">
        <v>88661.64522378</v>
      </c>
      <c r="K30" s="7" t="s">
        <v>70</v>
      </c>
      <c r="L30" s="30" t="n">
        <v>0.005</v>
      </c>
      <c r="M30" s="12" t="n">
        <f aca="false">L30*G30*Settings!$B$5</f>
        <v>39112.8650088</v>
      </c>
      <c r="N30" s="31" t="n">
        <f aca="false">(I30-F30)*24</f>
        <v>0.25</v>
      </c>
      <c r="O30" s="12" t="n">
        <v>-101.741110336798</v>
      </c>
      <c r="P30" s="12" t="n">
        <v>-148.016518750335</v>
      </c>
      <c r="Q30" s="12" t="n">
        <f aca="false">2*Calculator!$C$5*M30</f>
        <v>46.153180710384</v>
      </c>
      <c r="R30" s="12" t="n">
        <f aca="false">O30-P30-Q30</f>
        <v>0.122227703152497</v>
      </c>
      <c r="S30" s="12" t="n">
        <f aca="false">O30+2*Calculator!$C$6*M30</f>
        <v>-86.095964333278</v>
      </c>
      <c r="T30" s="12" t="n">
        <f aca="false">S30-2*Calculator!$B$6*M30</f>
        <v>-101.741110336798</v>
      </c>
      <c r="U30" s="12" t="n">
        <f aca="false">2*Calculator!$B$5*M30</f>
        <v>46.153180710384</v>
      </c>
      <c r="V30" s="12" t="n">
        <f aca="false">R30*Calculator!$B$7/Calculator!$C$7</f>
        <v>0.122227703152497</v>
      </c>
      <c r="W30" s="14" t="n">
        <f aca="false">T30-U30-V30</f>
        <v>-148.016518750335</v>
      </c>
      <c r="X30" s="7" t="str">
        <f aca="false">LEFT(A30,7)</f>
        <v>2026-01</v>
      </c>
    </row>
    <row r="31" customFormat="false" ht="15" hidden="false" customHeight="false" outlineLevel="0" collapsed="false">
      <c r="A31" s="7" t="s">
        <v>227</v>
      </c>
      <c r="B31" s="7" t="s">
        <v>213</v>
      </c>
      <c r="C31" s="7" t="s">
        <v>63</v>
      </c>
      <c r="D31" s="7" t="s">
        <v>60</v>
      </c>
      <c r="E31" s="7" t="s">
        <v>67</v>
      </c>
      <c r="F31" s="28" t="n">
        <v>46048.5729166667</v>
      </c>
      <c r="G31" s="29" t="n">
        <v>87862.424</v>
      </c>
      <c r="H31" s="29" t="n">
        <v>88386.3568</v>
      </c>
      <c r="I31" s="28" t="n">
        <v>46048.6458333333</v>
      </c>
      <c r="J31" s="29" t="n">
        <v>87705.42077664</v>
      </c>
      <c r="K31" s="7" t="s">
        <v>69</v>
      </c>
      <c r="L31" s="30" t="n">
        <v>0.002</v>
      </c>
      <c r="M31" s="12" t="n">
        <f aca="false">L31*G31*Settings!$B$5</f>
        <v>15463.786624</v>
      </c>
      <c r="N31" s="31" t="n">
        <f aca="false">(I31-F31)*24</f>
        <v>1.75000000046556</v>
      </c>
      <c r="O31" s="12" t="n">
        <v>35.3275588019213</v>
      </c>
      <c r="P31" s="12" t="n">
        <v>16.7661824198013</v>
      </c>
      <c r="Q31" s="12" t="n">
        <f aca="false">2*Calculator!$C$5*M31</f>
        <v>18.24726821632</v>
      </c>
      <c r="R31" s="12" t="n">
        <f aca="false">O31-P31-Q31</f>
        <v>0.31410816579999</v>
      </c>
      <c r="S31" s="12" t="n">
        <f aca="false">O31+2*Calculator!$C$6*M31</f>
        <v>41.5130734515213</v>
      </c>
      <c r="T31" s="12" t="n">
        <f aca="false">S31-2*Calculator!$B$6*M31</f>
        <v>35.3275588019213</v>
      </c>
      <c r="U31" s="12" t="n">
        <f aca="false">2*Calculator!$B$5*M31</f>
        <v>18.24726821632</v>
      </c>
      <c r="V31" s="12" t="n">
        <f aca="false">R31*Calculator!$B$7/Calculator!$C$7</f>
        <v>0.31410816579999</v>
      </c>
      <c r="W31" s="14" t="n">
        <f aca="false">T31-U31-V31</f>
        <v>16.7661824198013</v>
      </c>
      <c r="X31" s="7" t="str">
        <f aca="false">LEFT(A31,7)</f>
        <v>2026-01</v>
      </c>
    </row>
    <row r="32" customFormat="false" ht="15" hidden="false" customHeight="false" outlineLevel="0" collapsed="false">
      <c r="A32" s="7" t="s">
        <v>228</v>
      </c>
      <c r="B32" s="7" t="s">
        <v>209</v>
      </c>
      <c r="C32" s="7" t="s">
        <v>63</v>
      </c>
      <c r="D32" s="7" t="s">
        <v>59</v>
      </c>
      <c r="E32" s="7" t="s">
        <v>67</v>
      </c>
      <c r="F32" s="28" t="n">
        <v>46049.5625</v>
      </c>
      <c r="G32" s="29" t="n">
        <v>88270.3424</v>
      </c>
      <c r="H32" s="29" t="n">
        <v>88546.621</v>
      </c>
      <c r="I32" s="28" t="n">
        <v>46049.6145833333</v>
      </c>
      <c r="J32" s="29" t="n">
        <v>88039.57404393</v>
      </c>
      <c r="K32" s="7" t="s">
        <v>69</v>
      </c>
      <c r="L32" s="30" t="n">
        <v>0.004</v>
      </c>
      <c r="M32" s="12" t="n">
        <f aca="false">L32*G32*Settings!$B$5</f>
        <v>31071.1605248</v>
      </c>
      <c r="N32" s="31" t="n">
        <f aca="false">(I32-F32)*24</f>
        <v>1.25</v>
      </c>
      <c r="O32" s="12" t="n">
        <v>61.8254939192049</v>
      </c>
      <c r="P32" s="12" t="n">
        <v>24.7731349933809</v>
      </c>
      <c r="Q32" s="12" t="n">
        <f aca="false">2*Calculator!$C$5*M32</f>
        <v>36.663969419264</v>
      </c>
      <c r="R32" s="12" t="n">
        <f aca="false">O32-P32-Q32</f>
        <v>0.388389506559996</v>
      </c>
      <c r="S32" s="12" t="n">
        <f aca="false">O32+2*Calculator!$C$6*M32</f>
        <v>74.2539581291249</v>
      </c>
      <c r="T32" s="12" t="n">
        <f aca="false">S32-2*Calculator!$B$6*M32</f>
        <v>61.8254939192049</v>
      </c>
      <c r="U32" s="12" t="n">
        <f aca="false">2*Calculator!$B$5*M32</f>
        <v>36.663969419264</v>
      </c>
      <c r="V32" s="12" t="n">
        <f aca="false">R32*Calculator!$B$7/Calculator!$C$7</f>
        <v>0.388389506559996</v>
      </c>
      <c r="W32" s="14" t="n">
        <f aca="false">T32-U32-V32</f>
        <v>24.7731349933809</v>
      </c>
      <c r="X32" s="7" t="str">
        <f aca="false">LEFT(A32,7)</f>
        <v>2026-01</v>
      </c>
    </row>
    <row r="33" customFormat="false" ht="15" hidden="false" customHeight="false" outlineLevel="0" collapsed="false">
      <c r="A33" s="7" t="s">
        <v>229</v>
      </c>
      <c r="B33" s="7" t="s">
        <v>201</v>
      </c>
      <c r="C33" s="7" t="s">
        <v>63</v>
      </c>
      <c r="D33" s="7" t="s">
        <v>60</v>
      </c>
      <c r="E33" s="7" t="s">
        <v>67</v>
      </c>
      <c r="F33" s="28" t="n">
        <v>46051.5625</v>
      </c>
      <c r="G33" s="29" t="n">
        <v>88293.23782</v>
      </c>
      <c r="H33" s="29" t="n">
        <v>88735.01875</v>
      </c>
      <c r="I33" s="28" t="n">
        <v>46051.5729166667</v>
      </c>
      <c r="J33" s="29" t="n">
        <v>88035.4488015465</v>
      </c>
      <c r="K33" s="7" t="s">
        <v>69</v>
      </c>
      <c r="L33" s="30" t="n">
        <v>0.002</v>
      </c>
      <c r="M33" s="12" t="n">
        <f aca="false">L33*G33*Settings!$B$5</f>
        <v>15539.60985632</v>
      </c>
      <c r="N33" s="31" t="n">
        <f aca="false">(I33-F33)*24</f>
        <v>0.25</v>
      </c>
      <c r="O33" s="12" t="n">
        <v>40.5737212304601</v>
      </c>
      <c r="P33" s="12" t="n">
        <v>22.212700959602</v>
      </c>
      <c r="Q33" s="12" t="n">
        <f aca="false">2*Calculator!$C$5*M33</f>
        <v>18.3367396304576</v>
      </c>
      <c r="R33" s="12" t="n">
        <f aca="false">O33-P33-Q33</f>
        <v>0.0242806404005016</v>
      </c>
      <c r="S33" s="12" t="n">
        <f aca="false">O33+2*Calculator!$C$6*M33</f>
        <v>46.7895651729881</v>
      </c>
      <c r="T33" s="12" t="n">
        <f aca="false">S33-2*Calculator!$B$6*M33</f>
        <v>40.5737212304601</v>
      </c>
      <c r="U33" s="12" t="n">
        <f aca="false">2*Calculator!$B$5*M33</f>
        <v>18.3367396304576</v>
      </c>
      <c r="V33" s="12" t="n">
        <f aca="false">R33*Calculator!$B$7/Calculator!$C$7</f>
        <v>0.0242806404005016</v>
      </c>
      <c r="W33" s="14" t="n">
        <f aca="false">T33-U33-V33</f>
        <v>22.212700959602</v>
      </c>
      <c r="X33" s="7" t="str">
        <f aca="false">LEFT(A33,7)</f>
        <v>2026-01</v>
      </c>
    </row>
    <row r="34" customFormat="false" ht="15" hidden="false" customHeight="false" outlineLevel="0" collapsed="false">
      <c r="A34" s="7" t="s">
        <v>230</v>
      </c>
      <c r="B34" s="7" t="s">
        <v>203</v>
      </c>
      <c r="C34" s="7" t="s">
        <v>64</v>
      </c>
      <c r="D34" s="7" t="s">
        <v>60</v>
      </c>
      <c r="E34" s="7" t="s">
        <v>67</v>
      </c>
      <c r="F34" s="28" t="n">
        <v>46052.8333333333</v>
      </c>
      <c r="G34" s="29" t="n">
        <v>82933.31002</v>
      </c>
      <c r="H34" s="29" t="n">
        <v>83435.779</v>
      </c>
      <c r="I34" s="28" t="n">
        <v>46052.8333333333</v>
      </c>
      <c r="J34" s="29" t="n">
        <v>83452.4661558</v>
      </c>
      <c r="K34" s="7" t="s">
        <v>70</v>
      </c>
      <c r="L34" s="30" t="n">
        <v>0.002</v>
      </c>
      <c r="M34" s="12" t="n">
        <f aca="false">L34*G34*Settings!$B$5</f>
        <v>14596.26256352</v>
      </c>
      <c r="N34" s="31" t="n">
        <f aca="false">(I34-F34)*24</f>
        <v>0</v>
      </c>
      <c r="O34" s="12" t="n">
        <v>-91.3714799008006</v>
      </c>
      <c r="P34" s="12" t="n">
        <v>-108.595069725754</v>
      </c>
      <c r="Q34" s="12" t="n">
        <f aca="false">2*Calculator!$C$5*M34</f>
        <v>17.2235898249536</v>
      </c>
      <c r="R34" s="12" t="n">
        <f aca="false">O34-P34-Q34</f>
        <v>0</v>
      </c>
      <c r="S34" s="12" t="n">
        <f aca="false">O34+2*Calculator!$C$6*M34</f>
        <v>-85.5329748753926</v>
      </c>
      <c r="T34" s="12" t="n">
        <f aca="false">S34-2*Calculator!$B$6*M34</f>
        <v>-91.3714799008006</v>
      </c>
      <c r="U34" s="12" t="n">
        <f aca="false">2*Calculator!$B$5*M34</f>
        <v>17.2235898249536</v>
      </c>
      <c r="V34" s="12" t="n">
        <f aca="false">R34*Calculator!$B$7/Calculator!$C$7</f>
        <v>0</v>
      </c>
      <c r="W34" s="14" t="n">
        <f aca="false">T34-U34-V34</f>
        <v>-108.595069725754</v>
      </c>
      <c r="X34" s="7" t="str">
        <f aca="false">LEFT(A34,7)</f>
        <v>2026-01</v>
      </c>
    </row>
    <row r="35" customFormat="false" ht="15" hidden="false" customHeight="false" outlineLevel="0" collapsed="false">
      <c r="A35" s="7" t="s">
        <v>231</v>
      </c>
      <c r="B35" s="7" t="s">
        <v>213</v>
      </c>
      <c r="C35" s="7" t="s">
        <v>63</v>
      </c>
      <c r="D35" s="7" t="s">
        <v>60</v>
      </c>
      <c r="E35" s="7" t="s">
        <v>67</v>
      </c>
      <c r="F35" s="28" t="n">
        <v>46055.5625</v>
      </c>
      <c r="G35" s="29" t="n">
        <v>76597.27748</v>
      </c>
      <c r="H35" s="29" t="n">
        <v>77025.16045</v>
      </c>
      <c r="I35" s="28" t="n">
        <v>46055.5729166667</v>
      </c>
      <c r="J35" s="29" t="n">
        <v>77040.56548209</v>
      </c>
      <c r="K35" s="7" t="s">
        <v>70</v>
      </c>
      <c r="L35" s="30" t="n">
        <v>0.002</v>
      </c>
      <c r="M35" s="12" t="n">
        <f aca="false">L35*G35*Settings!$B$5</f>
        <v>13481.12083648</v>
      </c>
      <c r="N35" s="31" t="n">
        <f aca="false">(I35-F35)*24</f>
        <v>0.25</v>
      </c>
      <c r="O35" s="12" t="n">
        <v>-78.0186883678383</v>
      </c>
      <c r="P35" s="12" t="n">
        <v>-93.9685394574987</v>
      </c>
      <c r="Q35" s="12" t="n">
        <f aca="false">2*Calculator!$C$5*M35</f>
        <v>15.9077225870464</v>
      </c>
      <c r="R35" s="12" t="n">
        <f aca="false">O35-P35-Q35</f>
        <v>0.0421285026139842</v>
      </c>
      <c r="S35" s="12" t="n">
        <f aca="false">O35+2*Calculator!$C$6*M35</f>
        <v>-72.6262400332463</v>
      </c>
      <c r="T35" s="12" t="n">
        <f aca="false">S35-2*Calculator!$B$6*M35</f>
        <v>-78.0186883678383</v>
      </c>
      <c r="U35" s="12" t="n">
        <f aca="false">2*Calculator!$B$5*M35</f>
        <v>15.9077225870464</v>
      </c>
      <c r="V35" s="12" t="n">
        <f aca="false">R35*Calculator!$B$7/Calculator!$C$7</f>
        <v>0.0421285026139842</v>
      </c>
      <c r="W35" s="14" t="n">
        <f aca="false">T35-U35-V35</f>
        <v>-93.9685394574987</v>
      </c>
      <c r="X35" s="7" t="str">
        <f aca="false">LEFT(A35,7)</f>
        <v>2026-02</v>
      </c>
    </row>
    <row r="36" customFormat="false" ht="15" hidden="false" customHeight="false" outlineLevel="0" collapsed="false">
      <c r="A36" s="7" t="s">
        <v>232</v>
      </c>
      <c r="B36" s="7" t="s">
        <v>209</v>
      </c>
      <c r="C36" s="7" t="s">
        <v>64</v>
      </c>
      <c r="D36" s="7" t="s">
        <v>60</v>
      </c>
      <c r="E36" s="7" t="s">
        <v>67</v>
      </c>
      <c r="F36" s="28" t="n">
        <v>46056.8125</v>
      </c>
      <c r="G36" s="29" t="n">
        <v>78244.74792</v>
      </c>
      <c r="H36" s="29" t="n">
        <v>78778.7161</v>
      </c>
      <c r="I36" s="28" t="n">
        <v>46056.8333333333</v>
      </c>
      <c r="J36" s="29" t="n">
        <v>77749.038743409</v>
      </c>
      <c r="K36" s="7" t="s">
        <v>69</v>
      </c>
      <c r="L36" s="30" t="n">
        <v>0.002</v>
      </c>
      <c r="M36" s="12" t="n">
        <f aca="false">L36*G36*Settings!$B$5</f>
        <v>13771.07563392</v>
      </c>
      <c r="N36" s="31" t="n">
        <f aca="false">(I36-F36)*24</f>
        <v>0.5</v>
      </c>
      <c r="O36" s="12" t="n">
        <v>65.7445988166002</v>
      </c>
      <c r="P36" s="12" t="n">
        <v>49.4086603458626</v>
      </c>
      <c r="Q36" s="12" t="n">
        <f aca="false">2*Calculator!$C$5*M36</f>
        <v>16.2498692480256</v>
      </c>
      <c r="R36" s="12" t="n">
        <f aca="false">O36-P36-Q36</f>
        <v>0.0860692227120019</v>
      </c>
      <c r="S36" s="12" t="n">
        <f aca="false">O36+2*Calculator!$C$6*M36</f>
        <v>71.2530290701682</v>
      </c>
      <c r="T36" s="12" t="n">
        <f aca="false">S36-2*Calculator!$B$6*M36</f>
        <v>65.7445988166002</v>
      </c>
      <c r="U36" s="12" t="n">
        <f aca="false">2*Calculator!$B$5*M36</f>
        <v>16.2498692480256</v>
      </c>
      <c r="V36" s="12" t="n">
        <f aca="false">R36*Calculator!$B$7/Calculator!$C$7</f>
        <v>0.0860692227120019</v>
      </c>
      <c r="W36" s="14" t="n">
        <f aca="false">T36-U36-V36</f>
        <v>49.4086603458626</v>
      </c>
      <c r="X36" s="7" t="str">
        <f aca="false">LEFT(A36,7)</f>
        <v>2026-02</v>
      </c>
    </row>
    <row r="37" customFormat="false" ht="15" hidden="false" customHeight="false" outlineLevel="0" collapsed="false">
      <c r="A37" s="7" t="s">
        <v>233</v>
      </c>
      <c r="B37" s="7" t="s">
        <v>199</v>
      </c>
      <c r="C37" s="7" t="s">
        <v>64</v>
      </c>
      <c r="D37" s="7" t="s">
        <v>59</v>
      </c>
      <c r="E37" s="7" t="s">
        <v>67</v>
      </c>
      <c r="F37" s="28" t="n">
        <v>46057.8125</v>
      </c>
      <c r="G37" s="29" t="n">
        <v>74823.33234</v>
      </c>
      <c r="H37" s="29" t="n">
        <v>75331.8285</v>
      </c>
      <c r="I37" s="28" t="n">
        <v>46057.8125</v>
      </c>
      <c r="J37" s="29" t="n">
        <v>75346.8948657</v>
      </c>
      <c r="K37" s="7" t="s">
        <v>70</v>
      </c>
      <c r="L37" s="30" t="n">
        <v>0.002</v>
      </c>
      <c r="M37" s="12" t="n">
        <f aca="false">L37*G37*Settings!$B$5</f>
        <v>13168.90649184</v>
      </c>
      <c r="N37" s="31" t="n">
        <f aca="false">(I37-F37)*24</f>
        <v>0</v>
      </c>
      <c r="O37" s="12" t="n">
        <v>-92.1470045231986</v>
      </c>
      <c r="P37" s="12" t="n">
        <v>-107.68631418357</v>
      </c>
      <c r="Q37" s="12" t="n">
        <f aca="false">2*Calculator!$C$5*M37</f>
        <v>15.5393096603712</v>
      </c>
      <c r="R37" s="12" t="n">
        <f aca="false">O37-P37-Q37</f>
        <v>0</v>
      </c>
      <c r="S37" s="12" t="n">
        <f aca="false">O37+2*Calculator!$C$6*M37</f>
        <v>-86.8794419264626</v>
      </c>
      <c r="T37" s="12" t="n">
        <f aca="false">S37-2*Calculator!$B$6*M37</f>
        <v>-92.1470045231986</v>
      </c>
      <c r="U37" s="12" t="n">
        <f aca="false">2*Calculator!$B$5*M37</f>
        <v>15.5393096603712</v>
      </c>
      <c r="V37" s="12" t="n">
        <f aca="false">R37*Calculator!$B$7/Calculator!$C$7</f>
        <v>0</v>
      </c>
      <c r="W37" s="14" t="n">
        <f aca="false">T37-U37-V37</f>
        <v>-107.68631418357</v>
      </c>
      <c r="X37" s="7" t="str">
        <f aca="false">LEFT(A37,7)</f>
        <v>2026-02</v>
      </c>
    </row>
    <row r="38" customFormat="false" ht="15" hidden="false" customHeight="false" outlineLevel="0" collapsed="false">
      <c r="A38" s="7" t="s">
        <v>234</v>
      </c>
      <c r="B38" s="7" t="s">
        <v>203</v>
      </c>
      <c r="C38" s="7" t="s">
        <v>64</v>
      </c>
      <c r="D38" s="7" t="s">
        <v>60</v>
      </c>
      <c r="E38" s="7" t="s">
        <v>67</v>
      </c>
      <c r="F38" s="28" t="n">
        <v>46059.8125</v>
      </c>
      <c r="G38" s="29" t="n">
        <v>67261.44502</v>
      </c>
      <c r="H38" s="29" t="n">
        <v>67651.76915</v>
      </c>
      <c r="I38" s="28" t="n">
        <v>46059.8125</v>
      </c>
      <c r="J38" s="29" t="n">
        <v>66939.4662487065</v>
      </c>
      <c r="K38" s="7" t="s">
        <v>69</v>
      </c>
      <c r="L38" s="30" t="n">
        <v>0.002</v>
      </c>
      <c r="M38" s="12" t="n">
        <f aca="false">L38*G38*Settings!$B$5</f>
        <v>11838.01432352</v>
      </c>
      <c r="N38" s="31" t="n">
        <f aca="false">(I38-F38)*24</f>
        <v>0</v>
      </c>
      <c r="O38" s="12" t="n">
        <v>44.3280270138206</v>
      </c>
      <c r="P38" s="12" t="n">
        <v>30.359170112067</v>
      </c>
      <c r="Q38" s="12" t="n">
        <f aca="false">2*Calculator!$C$5*M38</f>
        <v>13.9688569017536</v>
      </c>
      <c r="R38" s="12" t="n">
        <f aca="false">O38-P38-Q38</f>
        <v>0</v>
      </c>
      <c r="S38" s="12" t="n">
        <f aca="false">O38+2*Calculator!$C$6*M38</f>
        <v>49.0632327432286</v>
      </c>
      <c r="T38" s="12" t="n">
        <f aca="false">S38-2*Calculator!$B$6*M38</f>
        <v>44.3280270138206</v>
      </c>
      <c r="U38" s="12" t="n">
        <f aca="false">2*Calculator!$B$5*M38</f>
        <v>13.9688569017536</v>
      </c>
      <c r="V38" s="12" t="n">
        <f aca="false">R38*Calculator!$B$7/Calculator!$C$7</f>
        <v>0</v>
      </c>
      <c r="W38" s="14" t="n">
        <f aca="false">T38-U38-V38</f>
        <v>30.359170112067</v>
      </c>
      <c r="X38" s="7" t="str">
        <f aca="false">LEFT(A38,7)</f>
        <v>2026-02</v>
      </c>
    </row>
    <row r="39" customFormat="false" ht="15" hidden="false" customHeight="false" outlineLevel="0" collapsed="false">
      <c r="A39" s="7" t="s">
        <v>235</v>
      </c>
      <c r="B39" s="7" t="s">
        <v>205</v>
      </c>
      <c r="C39" s="7" t="s">
        <v>63</v>
      </c>
      <c r="D39" s="7" t="s">
        <v>60</v>
      </c>
      <c r="E39" s="7" t="s">
        <v>67</v>
      </c>
      <c r="F39" s="28" t="n">
        <v>46060.59375</v>
      </c>
      <c r="G39" s="29" t="n">
        <v>68298.23762</v>
      </c>
      <c r="H39" s="29" t="n">
        <v>68970.979</v>
      </c>
      <c r="I39" s="28" t="n">
        <v>46060.6354166667</v>
      </c>
      <c r="J39" s="29" t="n">
        <v>68134.209462069</v>
      </c>
      <c r="K39" s="7" t="s">
        <v>69</v>
      </c>
      <c r="L39" s="30" t="n">
        <v>0.001</v>
      </c>
      <c r="M39" s="12" t="n">
        <f aca="false">L39*G39*Settings!$B$5</f>
        <v>6010.24491056</v>
      </c>
      <c r="N39" s="31" t="n">
        <f aca="false">(I39-F39)*24</f>
        <v>1</v>
      </c>
      <c r="O39" s="12" t="n">
        <v>14.4344778979276</v>
      </c>
      <c r="P39" s="12" t="n">
        <v>7.26726084208483</v>
      </c>
      <c r="Q39" s="12" t="n">
        <f aca="false">2*Calculator!$C$5*M39</f>
        <v>7.0920889944608</v>
      </c>
      <c r="R39" s="12" t="n">
        <f aca="false">O39-P39-Q39</f>
        <v>0.0751280613819993</v>
      </c>
      <c r="S39" s="12" t="n">
        <f aca="false">O39+2*Calculator!$C$6*M39</f>
        <v>16.8385758621516</v>
      </c>
      <c r="T39" s="12" t="n">
        <f aca="false">S39-2*Calculator!$B$6*M39</f>
        <v>14.4344778979276</v>
      </c>
      <c r="U39" s="12" t="n">
        <f aca="false">2*Calculator!$B$5*M39</f>
        <v>7.0920889944608</v>
      </c>
      <c r="V39" s="12" t="n">
        <f aca="false">R39*Calculator!$B$7/Calculator!$C$7</f>
        <v>0.0751280613819993</v>
      </c>
      <c r="W39" s="14" t="n">
        <f aca="false">T39-U39-V39</f>
        <v>7.26726084208483</v>
      </c>
      <c r="X39" s="7" t="str">
        <f aca="false">LEFT(A39,7)</f>
        <v>2026-02</v>
      </c>
    </row>
    <row r="40" customFormat="false" ht="15" hidden="false" customHeight="false" outlineLevel="0" collapsed="false">
      <c r="A40" s="7" t="s">
        <v>235</v>
      </c>
      <c r="B40" s="7" t="s">
        <v>205</v>
      </c>
      <c r="C40" s="7" t="s">
        <v>64</v>
      </c>
      <c r="D40" s="7" t="s">
        <v>60</v>
      </c>
      <c r="E40" s="7" t="s">
        <v>66</v>
      </c>
      <c r="F40" s="28" t="n">
        <v>46060.84375</v>
      </c>
      <c r="G40" s="29" t="n">
        <v>68790.65538</v>
      </c>
      <c r="H40" s="29" t="n">
        <v>68462.3269</v>
      </c>
      <c r="I40" s="28" t="n">
        <v>46060.84375</v>
      </c>
      <c r="J40" s="29" t="n">
        <v>68448.63443462</v>
      </c>
      <c r="K40" s="7" t="s">
        <v>70</v>
      </c>
      <c r="L40" s="30" t="n">
        <v>0.003</v>
      </c>
      <c r="M40" s="12" t="n">
        <f aca="false">L40*G40*Settings!$B$5</f>
        <v>18160.73302032</v>
      </c>
      <c r="N40" s="31" t="n">
        <f aca="false">(I40-F40)*24</f>
        <v>0</v>
      </c>
      <c r="O40" s="12" t="n">
        <v>-90.2935295803176</v>
      </c>
      <c r="P40" s="12" t="n">
        <v>-111.723194544295</v>
      </c>
      <c r="Q40" s="12" t="n">
        <f aca="false">2*Calculator!$C$5*M40</f>
        <v>21.4296649639776</v>
      </c>
      <c r="R40" s="12" t="n">
        <f aca="false">O40-P40-Q40</f>
        <v>0</v>
      </c>
      <c r="S40" s="12" t="n">
        <f aca="false">O40+2*Calculator!$C$6*M40</f>
        <v>-83.0292363721896</v>
      </c>
      <c r="T40" s="12" t="n">
        <f aca="false">S40-2*Calculator!$B$6*M40</f>
        <v>-90.2935295803176</v>
      </c>
      <c r="U40" s="12" t="n">
        <f aca="false">2*Calculator!$B$5*M40</f>
        <v>21.4296649639776</v>
      </c>
      <c r="V40" s="12" t="n">
        <f aca="false">R40*Calculator!$B$7/Calculator!$C$7</f>
        <v>0</v>
      </c>
      <c r="W40" s="14" t="n">
        <f aca="false">T40-U40-V40</f>
        <v>-111.723194544295</v>
      </c>
      <c r="X40" s="7" t="str">
        <f aca="false">LEFT(A40,7)</f>
        <v>2026-02</v>
      </c>
    </row>
    <row r="41" customFormat="false" ht="15" hidden="false" customHeight="false" outlineLevel="0" collapsed="false">
      <c r="A41" s="7" t="s">
        <v>236</v>
      </c>
      <c r="B41" s="7" t="s">
        <v>213</v>
      </c>
      <c r="C41" s="7" t="s">
        <v>63</v>
      </c>
      <c r="D41" s="7" t="s">
        <v>60</v>
      </c>
      <c r="E41" s="7" t="s">
        <v>66</v>
      </c>
      <c r="F41" s="28" t="n">
        <v>46062.5625</v>
      </c>
      <c r="G41" s="29" t="n">
        <v>70407.5787</v>
      </c>
      <c r="H41" s="29" t="n">
        <v>70013.3159</v>
      </c>
      <c r="I41" s="28" t="n">
        <v>46062.5729166667</v>
      </c>
      <c r="J41" s="29" t="n">
        <v>69999.31323682</v>
      </c>
      <c r="K41" s="7" t="s">
        <v>70</v>
      </c>
      <c r="L41" s="30" t="n">
        <v>0.002</v>
      </c>
      <c r="M41" s="12" t="n">
        <f aca="false">L41*G41*Settings!$B$5</f>
        <v>12391.7338512</v>
      </c>
      <c r="N41" s="31" t="n">
        <f aca="false">(I41-F41)*24</f>
        <v>0.25</v>
      </c>
      <c r="O41" s="12" t="n">
        <v>-71.8547215196793</v>
      </c>
      <c r="P41" s="12" t="n">
        <v>-86.5156916323803</v>
      </c>
      <c r="Q41" s="12" t="n">
        <f aca="false">2*Calculator!$C$5*M41</f>
        <v>14.622245944416</v>
      </c>
      <c r="R41" s="12" t="n">
        <f aca="false">O41-P41-Q41</f>
        <v>0.0387241682849933</v>
      </c>
      <c r="S41" s="12" t="n">
        <f aca="false">O41+2*Calculator!$C$6*M41</f>
        <v>-66.8980279791993</v>
      </c>
      <c r="T41" s="12" t="n">
        <f aca="false">S41-2*Calculator!$B$6*M41</f>
        <v>-71.8547215196793</v>
      </c>
      <c r="U41" s="12" t="n">
        <f aca="false">2*Calculator!$B$5*M41</f>
        <v>14.622245944416</v>
      </c>
      <c r="V41" s="12" t="n">
        <f aca="false">R41*Calculator!$B$7/Calculator!$C$7</f>
        <v>0.0387241682849933</v>
      </c>
      <c r="W41" s="14" t="n">
        <f aca="false">T41-U41-V41</f>
        <v>-86.5156916323803</v>
      </c>
      <c r="X41" s="7" t="str">
        <f aca="false">LEFT(A41,7)</f>
        <v>2026-02</v>
      </c>
    </row>
    <row r="42" customFormat="false" ht="15" hidden="false" customHeight="false" outlineLevel="0" collapsed="false">
      <c r="A42" s="7" t="s">
        <v>236</v>
      </c>
      <c r="B42" s="7" t="s">
        <v>213</v>
      </c>
      <c r="C42" s="7" t="s">
        <v>64</v>
      </c>
      <c r="D42" s="7" t="s">
        <v>59</v>
      </c>
      <c r="E42" s="7" t="s">
        <v>67</v>
      </c>
      <c r="F42" s="28" t="n">
        <v>46062.8125</v>
      </c>
      <c r="G42" s="29" t="n">
        <v>68543.2886</v>
      </c>
      <c r="H42" s="29" t="n">
        <v>69111.61215</v>
      </c>
      <c r="I42" s="28" t="n">
        <v>46062.8333333333</v>
      </c>
      <c r="J42" s="29" t="n">
        <v>69125.43447243</v>
      </c>
      <c r="K42" s="7" t="s">
        <v>70</v>
      </c>
      <c r="L42" s="30" t="n">
        <v>0.001</v>
      </c>
      <c r="M42" s="12" t="n">
        <f aca="false">L42*G42*Settings!$B$5</f>
        <v>6031.8093968</v>
      </c>
      <c r="N42" s="31" t="n">
        <f aca="false">(I42-F42)*24</f>
        <v>0.5</v>
      </c>
      <c r="O42" s="12" t="n">
        <v>-51.2288367738415</v>
      </c>
      <c r="P42" s="12" t="n">
        <v>-58.3840706707955</v>
      </c>
      <c r="Q42" s="12" t="n">
        <f aca="false">2*Calculator!$C$5*M42</f>
        <v>7.117535088224</v>
      </c>
      <c r="R42" s="12" t="n">
        <f aca="false">O42-P42-Q42</f>
        <v>0.0376988087300019</v>
      </c>
      <c r="S42" s="12" t="n">
        <f aca="false">O42+2*Calculator!$C$6*M42</f>
        <v>-48.8161130151215</v>
      </c>
      <c r="T42" s="12" t="n">
        <f aca="false">S42-2*Calculator!$B$6*M42</f>
        <v>-51.2288367738415</v>
      </c>
      <c r="U42" s="12" t="n">
        <f aca="false">2*Calculator!$B$5*M42</f>
        <v>7.117535088224</v>
      </c>
      <c r="V42" s="12" t="n">
        <f aca="false">R42*Calculator!$B$7/Calculator!$C$7</f>
        <v>0.0376988087300019</v>
      </c>
      <c r="W42" s="14" t="n">
        <f aca="false">T42-U42-V42</f>
        <v>-58.3840706707955</v>
      </c>
      <c r="X42" s="7" t="str">
        <f aca="false">LEFT(A42,7)</f>
        <v>2026-02</v>
      </c>
    </row>
    <row r="43" customFormat="false" ht="15" hidden="false" customHeight="false" outlineLevel="0" collapsed="false">
      <c r="A43" s="7" t="s">
        <v>237</v>
      </c>
      <c r="B43" s="7" t="s">
        <v>209</v>
      </c>
      <c r="C43" s="7" t="s">
        <v>64</v>
      </c>
      <c r="D43" s="7" t="s">
        <v>60</v>
      </c>
      <c r="E43" s="7" t="s">
        <v>67</v>
      </c>
      <c r="F43" s="28" t="n">
        <v>46063.8125</v>
      </c>
      <c r="G43" s="29" t="n">
        <v>68968.00364</v>
      </c>
      <c r="H43" s="29" t="n">
        <v>69337.4206</v>
      </c>
      <c r="I43" s="28" t="n">
        <v>46063.8229166667</v>
      </c>
      <c r="J43" s="29" t="n">
        <v>69351.28808412</v>
      </c>
      <c r="K43" s="7" t="s">
        <v>70</v>
      </c>
      <c r="L43" s="30" t="n">
        <v>0.003</v>
      </c>
      <c r="M43" s="12" t="n">
        <f aca="false">L43*G43*Settings!$B$5</f>
        <v>18207.55296096</v>
      </c>
      <c r="N43" s="31" t="n">
        <f aca="false">(I43-F43)*24</f>
        <v>0.25</v>
      </c>
      <c r="O43" s="12" t="n">
        <v>-101.187093247676</v>
      </c>
      <c r="P43" s="12" t="n">
        <v>-122.728904344612</v>
      </c>
      <c r="Q43" s="12" t="n">
        <f aca="false">2*Calculator!$C$5*M43</f>
        <v>21.4849124939328</v>
      </c>
      <c r="R43" s="12" t="n">
        <f aca="false">O43-P43-Q43</f>
        <v>0.0568986030029954</v>
      </c>
      <c r="S43" s="12" t="n">
        <f aca="false">O43+2*Calculator!$C$6*M43</f>
        <v>-93.9040720632921</v>
      </c>
      <c r="T43" s="12" t="n">
        <f aca="false">S43-2*Calculator!$B$6*M43</f>
        <v>-101.187093247676</v>
      </c>
      <c r="U43" s="12" t="n">
        <f aca="false">2*Calculator!$B$5*M43</f>
        <v>21.4849124939328</v>
      </c>
      <c r="V43" s="12" t="n">
        <f aca="false">R43*Calculator!$B$7/Calculator!$C$7</f>
        <v>0.0568986030029954</v>
      </c>
      <c r="W43" s="14" t="n">
        <f aca="false">T43-U43-V43</f>
        <v>-122.728904344612</v>
      </c>
      <c r="X43" s="7" t="str">
        <f aca="false">LEFT(A43,7)</f>
        <v>2026-02</v>
      </c>
    </row>
    <row r="44" customFormat="false" ht="15" hidden="false" customHeight="false" outlineLevel="0" collapsed="false">
      <c r="A44" s="7" t="s">
        <v>238</v>
      </c>
      <c r="B44" s="7" t="s">
        <v>201</v>
      </c>
      <c r="C44" s="7" t="s">
        <v>63</v>
      </c>
      <c r="D44" s="7" t="s">
        <v>60</v>
      </c>
      <c r="E44" s="7" t="s">
        <v>66</v>
      </c>
      <c r="F44" s="28" t="n">
        <v>46065.5625</v>
      </c>
      <c r="G44" s="29" t="n">
        <v>67194.9363</v>
      </c>
      <c r="H44" s="29" t="n">
        <v>66793.17205</v>
      </c>
      <c r="I44" s="28" t="n">
        <v>46065.6354166667</v>
      </c>
      <c r="J44" s="29" t="n">
        <v>67329.8902657125</v>
      </c>
      <c r="K44" s="7" t="s">
        <v>69</v>
      </c>
      <c r="L44" s="30" t="n">
        <v>0.002</v>
      </c>
      <c r="M44" s="12" t="n">
        <f aca="false">L44*G44*Settings!$B$5</f>
        <v>11826.3087888</v>
      </c>
      <c r="N44" s="31" t="n">
        <f aca="false">(I44-F44)*24</f>
        <v>1.75</v>
      </c>
      <c r="O44" s="12" t="n">
        <v>28.3674095784203</v>
      </c>
      <c r="P44" s="12" t="n">
        <v>14.1721433103638</v>
      </c>
      <c r="Q44" s="12" t="n">
        <f aca="false">2*Calculator!$C$5*M44</f>
        <v>13.955044370784</v>
      </c>
      <c r="R44" s="12" t="n">
        <f aca="false">O44-P44-Q44</f>
        <v>0.240221897272498</v>
      </c>
      <c r="S44" s="12" t="n">
        <f aca="false">O44+2*Calculator!$C$6*M44</f>
        <v>33.0979330939403</v>
      </c>
      <c r="T44" s="12" t="n">
        <f aca="false">S44-2*Calculator!$B$6*M44</f>
        <v>28.3674095784203</v>
      </c>
      <c r="U44" s="12" t="n">
        <f aca="false">2*Calculator!$B$5*M44</f>
        <v>13.955044370784</v>
      </c>
      <c r="V44" s="12" t="n">
        <f aca="false">R44*Calculator!$B$7/Calculator!$C$7</f>
        <v>0.240221897272498</v>
      </c>
      <c r="W44" s="14" t="n">
        <f aca="false">T44-U44-V44</f>
        <v>14.1721433103638</v>
      </c>
      <c r="X44" s="7" t="str">
        <f aca="false">LEFT(A44,7)</f>
        <v>2026-02</v>
      </c>
    </row>
    <row r="45" customFormat="false" ht="15" hidden="false" customHeight="false" outlineLevel="0" collapsed="false">
      <c r="A45" s="7" t="s">
        <v>239</v>
      </c>
      <c r="B45" s="7" t="s">
        <v>203</v>
      </c>
      <c r="C45" s="7" t="s">
        <v>63</v>
      </c>
      <c r="D45" s="7" t="s">
        <v>60</v>
      </c>
      <c r="E45" s="7" t="s">
        <v>66</v>
      </c>
      <c r="F45" s="28" t="n">
        <v>46066.5625</v>
      </c>
      <c r="G45" s="29" t="n">
        <v>66196.53666</v>
      </c>
      <c r="H45" s="29" t="n">
        <v>65796.577</v>
      </c>
      <c r="I45" s="28" t="n">
        <v>46066.5625</v>
      </c>
      <c r="J45" s="29" t="n">
        <v>66362.734882983</v>
      </c>
      <c r="K45" s="7" t="s">
        <v>69</v>
      </c>
      <c r="L45" s="30" t="n">
        <v>0.002</v>
      </c>
      <c r="M45" s="12" t="n">
        <f aca="false">L45*G45*Settings!$B$5</f>
        <v>11650.59045216</v>
      </c>
      <c r="N45" s="31" t="n">
        <f aca="false">(I45-F45)*24</f>
        <v>0</v>
      </c>
      <c r="O45" s="12" t="n">
        <v>31.0550899722802</v>
      </c>
      <c r="P45" s="12" t="n">
        <v>17.3073932387314</v>
      </c>
      <c r="Q45" s="12" t="n">
        <f aca="false">2*Calculator!$C$5*M45</f>
        <v>13.7476967335488</v>
      </c>
      <c r="R45" s="12" t="n">
        <f aca="false">O45-P45-Q45</f>
        <v>0</v>
      </c>
      <c r="S45" s="12" t="n">
        <f aca="false">O45+2*Calculator!$C$6*M45</f>
        <v>35.7153261531442</v>
      </c>
      <c r="T45" s="12" t="n">
        <f aca="false">S45-2*Calculator!$B$6*M45</f>
        <v>31.0550899722802</v>
      </c>
      <c r="U45" s="12" t="n">
        <f aca="false">2*Calculator!$B$5*M45</f>
        <v>13.7476967335488</v>
      </c>
      <c r="V45" s="12" t="n">
        <f aca="false">R45*Calculator!$B$7/Calculator!$C$7</f>
        <v>0</v>
      </c>
      <c r="W45" s="14" t="n">
        <f aca="false">T45-U45-V45</f>
        <v>17.3073932387314</v>
      </c>
      <c r="X45" s="7" t="str">
        <f aca="false">LEFT(A45,7)</f>
        <v>2026-02</v>
      </c>
    </row>
    <row r="46" customFormat="false" ht="15" hidden="false" customHeight="false" outlineLevel="0" collapsed="false">
      <c r="A46" s="7" t="s">
        <v>239</v>
      </c>
      <c r="B46" s="7" t="s">
        <v>203</v>
      </c>
      <c r="C46" s="7" t="s">
        <v>64</v>
      </c>
      <c r="D46" s="7" t="s">
        <v>60</v>
      </c>
      <c r="E46" s="7" t="s">
        <v>66</v>
      </c>
      <c r="F46" s="28" t="n">
        <v>46066.8125</v>
      </c>
      <c r="G46" s="29" t="n">
        <v>67251.54762</v>
      </c>
      <c r="H46" s="29" t="n">
        <v>66860.86605</v>
      </c>
      <c r="I46" s="28" t="n">
        <v>46066.8333333333</v>
      </c>
      <c r="J46" s="29" t="n">
        <v>66847.49387679</v>
      </c>
      <c r="K46" s="7" t="s">
        <v>70</v>
      </c>
      <c r="L46" s="30" t="n">
        <v>0.002</v>
      </c>
      <c r="M46" s="12" t="n">
        <f aca="false">L46*G46*Settings!$B$5</f>
        <v>11836.27238112</v>
      </c>
      <c r="N46" s="31" t="n">
        <f aca="false">(I46-F46)*24</f>
        <v>0.5</v>
      </c>
      <c r="O46" s="12" t="n">
        <v>-71.1134588049566</v>
      </c>
      <c r="P46" s="12" t="n">
        <v>-85.1542369170603</v>
      </c>
      <c r="Q46" s="12" t="n">
        <f aca="false">2*Calculator!$C$5*M46</f>
        <v>13.9668014097216</v>
      </c>
      <c r="R46" s="12" t="n">
        <f aca="false">O46-P46-Q46</f>
        <v>0.0739767023820086</v>
      </c>
      <c r="S46" s="12" t="n">
        <f aca="false">O46+2*Calculator!$C$6*M46</f>
        <v>-66.3789498525086</v>
      </c>
      <c r="T46" s="12" t="n">
        <f aca="false">S46-2*Calculator!$B$6*M46</f>
        <v>-71.1134588049566</v>
      </c>
      <c r="U46" s="12" t="n">
        <f aca="false">2*Calculator!$B$5*M46</f>
        <v>13.9668014097216</v>
      </c>
      <c r="V46" s="12" t="n">
        <f aca="false">R46*Calculator!$B$7/Calculator!$C$7</f>
        <v>0.0739767023820086</v>
      </c>
      <c r="W46" s="14" t="n">
        <f aca="false">T46-U46-V46</f>
        <v>-85.1542369170603</v>
      </c>
      <c r="X46" s="7" t="str">
        <f aca="false">LEFT(A46,7)</f>
        <v>2026-02</v>
      </c>
    </row>
    <row r="47" customFormat="false" ht="15" hidden="false" customHeight="false" outlineLevel="0" collapsed="false">
      <c r="A47" s="7" t="s">
        <v>240</v>
      </c>
      <c r="B47" s="7" t="s">
        <v>205</v>
      </c>
      <c r="C47" s="7" t="s">
        <v>64</v>
      </c>
      <c r="D47" s="7" t="s">
        <v>60</v>
      </c>
      <c r="E47" s="7" t="s">
        <v>67</v>
      </c>
      <c r="F47" s="28" t="n">
        <v>46067.8125</v>
      </c>
      <c r="G47" s="29" t="n">
        <v>69416.114</v>
      </c>
      <c r="H47" s="29" t="n">
        <v>69852.93</v>
      </c>
      <c r="I47" s="28" t="n">
        <v>46067.8645833333</v>
      </c>
      <c r="J47" s="29" t="n">
        <v>69866.900586</v>
      </c>
      <c r="K47" s="7" t="s">
        <v>70</v>
      </c>
      <c r="L47" s="30" t="n">
        <v>0.002</v>
      </c>
      <c r="M47" s="12" t="n">
        <f aca="false">L47*G47*Settings!$B$5</f>
        <v>12217.236064</v>
      </c>
      <c r="N47" s="31" t="n">
        <f aca="false">(I47-F47)*24</f>
        <v>1.25</v>
      </c>
      <c r="O47" s="12" t="n">
        <v>-79.3384391359978</v>
      </c>
      <c r="P47" s="12" t="n">
        <v>-93.9456720050178</v>
      </c>
      <c r="Q47" s="12" t="n">
        <f aca="false">2*Calculator!$C$5*M47</f>
        <v>14.41633855552</v>
      </c>
      <c r="R47" s="12" t="n">
        <f aca="false">O47-P47-Q47</f>
        <v>0.190894313499994</v>
      </c>
      <c r="S47" s="12" t="n">
        <f aca="false">O47+2*Calculator!$C$6*M47</f>
        <v>-74.4515447103978</v>
      </c>
      <c r="T47" s="12" t="n">
        <f aca="false">S47-2*Calculator!$B$6*M47</f>
        <v>-79.3384391359978</v>
      </c>
      <c r="U47" s="12" t="n">
        <f aca="false">2*Calculator!$B$5*M47</f>
        <v>14.41633855552</v>
      </c>
      <c r="V47" s="12" t="n">
        <f aca="false">R47*Calculator!$B$7/Calculator!$C$7</f>
        <v>0.190894313499994</v>
      </c>
      <c r="W47" s="14" t="n">
        <f aca="false">T47-U47-V47</f>
        <v>-93.9456720050178</v>
      </c>
      <c r="X47" s="7" t="str">
        <f aca="false">LEFT(A47,7)</f>
        <v>2026-02</v>
      </c>
    </row>
    <row r="48" customFormat="false" ht="15" hidden="false" customHeight="false" outlineLevel="0" collapsed="false">
      <c r="A48" s="7" t="s">
        <v>241</v>
      </c>
      <c r="B48" s="7" t="s">
        <v>207</v>
      </c>
      <c r="C48" s="7" t="s">
        <v>63</v>
      </c>
      <c r="D48" s="7" t="s">
        <v>60</v>
      </c>
      <c r="E48" s="7" t="s">
        <v>67</v>
      </c>
      <c r="F48" s="28" t="n">
        <v>46068.5729166667</v>
      </c>
      <c r="G48" s="29" t="n">
        <v>70685.76002</v>
      </c>
      <c r="H48" s="29" t="n">
        <v>71226.78465</v>
      </c>
      <c r="I48" s="28" t="n">
        <v>46068.5833333333</v>
      </c>
      <c r="J48" s="29" t="n">
        <v>70264.1061687315</v>
      </c>
      <c r="K48" s="7" t="s">
        <v>69</v>
      </c>
      <c r="L48" s="30" t="n">
        <v>0.002</v>
      </c>
      <c r="M48" s="12" t="n">
        <f aca="false">L48*G48*Settings!$B$5</f>
        <v>12440.69376352</v>
      </c>
      <c r="N48" s="31" t="n">
        <f aca="false">(I48-F48)*24</f>
        <v>0.250000000465556</v>
      </c>
      <c r="O48" s="12" t="n">
        <v>59.671314272019</v>
      </c>
      <c r="P48" s="12" t="n">
        <v>44.9524184630544</v>
      </c>
      <c r="Q48" s="12" t="n">
        <f aca="false">2*Calculator!$C$5*M48</f>
        <v>14.6800186409536</v>
      </c>
      <c r="R48" s="12" t="n">
        <f aca="false">O48-P48-Q48</f>
        <v>0.0388771680109947</v>
      </c>
      <c r="S48" s="12" t="n">
        <f aca="false">O48+2*Calculator!$C$6*M48</f>
        <v>64.647591777427</v>
      </c>
      <c r="T48" s="12" t="n">
        <f aca="false">S48-2*Calculator!$B$6*M48</f>
        <v>59.671314272019</v>
      </c>
      <c r="U48" s="12" t="n">
        <f aca="false">2*Calculator!$B$5*M48</f>
        <v>14.6800186409536</v>
      </c>
      <c r="V48" s="12" t="n">
        <f aca="false">R48*Calculator!$B$7/Calculator!$C$7</f>
        <v>0.0388771680109947</v>
      </c>
      <c r="W48" s="14" t="n">
        <f aca="false">T48-U48-V48</f>
        <v>44.9524184630544</v>
      </c>
      <c r="X48" s="7" t="str">
        <f aca="false">LEFT(A48,7)</f>
        <v>2026-02</v>
      </c>
    </row>
    <row r="49" customFormat="false" ht="15" hidden="false" customHeight="false" outlineLevel="0" collapsed="false">
      <c r="A49" s="7" t="s">
        <v>241</v>
      </c>
      <c r="B49" s="7" t="s">
        <v>207</v>
      </c>
      <c r="C49" s="7" t="s">
        <v>64</v>
      </c>
      <c r="D49" s="7" t="s">
        <v>60</v>
      </c>
      <c r="E49" s="7" t="s">
        <v>66</v>
      </c>
      <c r="F49" s="28" t="n">
        <v>46068.8125</v>
      </c>
      <c r="G49" s="29" t="n">
        <v>68920.98144</v>
      </c>
      <c r="H49" s="29" t="n">
        <v>68530.22</v>
      </c>
      <c r="I49" s="28" t="n">
        <v>46068.84375</v>
      </c>
      <c r="J49" s="29" t="n">
        <v>69068.493178072</v>
      </c>
      <c r="K49" s="7" t="s">
        <v>69</v>
      </c>
      <c r="L49" s="30" t="n">
        <v>0.002</v>
      </c>
      <c r="M49" s="12" t="n">
        <f aca="false">L49*G49*Settings!$B$5</f>
        <v>12130.09273344</v>
      </c>
      <c r="N49" s="31" t="n">
        <f aca="false">(I49-F49)*24</f>
        <v>0.75</v>
      </c>
      <c r="O49" s="12" t="n">
        <v>28.958088336322</v>
      </c>
      <c r="P49" s="12" t="n">
        <v>14.5498125613828</v>
      </c>
      <c r="Q49" s="12" t="n">
        <f aca="false">2*Calculator!$C$5*M49</f>
        <v>14.3135094254592</v>
      </c>
      <c r="R49" s="12" t="n">
        <f aca="false">O49-P49-Q49</f>
        <v>0.0947663494800004</v>
      </c>
      <c r="S49" s="12" t="n">
        <f aca="false">O49+2*Calculator!$C$6*M49</f>
        <v>33.810125429698</v>
      </c>
      <c r="T49" s="12" t="n">
        <f aca="false">S49-2*Calculator!$B$6*M49</f>
        <v>28.958088336322</v>
      </c>
      <c r="U49" s="12" t="n">
        <f aca="false">2*Calculator!$B$5*M49</f>
        <v>14.3135094254592</v>
      </c>
      <c r="V49" s="12" t="n">
        <f aca="false">R49*Calculator!$B$7/Calculator!$C$7</f>
        <v>0.0947663494800004</v>
      </c>
      <c r="W49" s="14" t="n">
        <f aca="false">T49-U49-V49</f>
        <v>14.5498125613828</v>
      </c>
      <c r="X49" s="7" t="str">
        <f aca="false">LEFT(A49,7)</f>
        <v>2026-02</v>
      </c>
    </row>
    <row r="50" customFormat="false" ht="15" hidden="false" customHeight="false" outlineLevel="0" collapsed="false">
      <c r="A50" s="7" t="s">
        <v>242</v>
      </c>
      <c r="B50" s="7" t="s">
        <v>213</v>
      </c>
      <c r="C50" s="7" t="s">
        <v>63</v>
      </c>
      <c r="D50" s="7" t="s">
        <v>60</v>
      </c>
      <c r="E50" s="7" t="s">
        <v>67</v>
      </c>
      <c r="F50" s="28" t="n">
        <v>46069.5729166667</v>
      </c>
      <c r="G50" s="29" t="n">
        <v>68498.2976</v>
      </c>
      <c r="H50" s="29" t="n">
        <v>68921.25625</v>
      </c>
      <c r="I50" s="28" t="n">
        <v>46069.6041666667</v>
      </c>
      <c r="J50" s="29" t="n">
        <v>68935.04050125</v>
      </c>
      <c r="K50" s="7" t="s">
        <v>70</v>
      </c>
      <c r="L50" s="30" t="n">
        <v>0.002</v>
      </c>
      <c r="M50" s="12" t="n">
        <f aca="false">L50*G50*Settings!$B$5</f>
        <v>12055.7003776</v>
      </c>
      <c r="N50" s="31" t="n">
        <f aca="false">(I50-F50)*24</f>
        <v>0.75</v>
      </c>
      <c r="O50" s="12" t="n">
        <v>-76.8667506199961</v>
      </c>
      <c r="P50" s="12" t="n">
        <v>-91.2054992566041</v>
      </c>
      <c r="Q50" s="12" t="n">
        <f aca="false">2*Calculator!$C$5*M50</f>
        <v>14.225726445568</v>
      </c>
      <c r="R50" s="12" t="n">
        <f aca="false">O50-P50-Q50</f>
        <v>0.113022191040002</v>
      </c>
      <c r="S50" s="12" t="n">
        <f aca="false">O50+2*Calculator!$C$6*M50</f>
        <v>-72.0444704689561</v>
      </c>
      <c r="T50" s="12" t="n">
        <f aca="false">S50-2*Calculator!$B$6*M50</f>
        <v>-76.8667506199961</v>
      </c>
      <c r="U50" s="12" t="n">
        <f aca="false">2*Calculator!$B$5*M50</f>
        <v>14.225726445568</v>
      </c>
      <c r="V50" s="12" t="n">
        <f aca="false">R50*Calculator!$B$7/Calculator!$C$7</f>
        <v>0.113022191040002</v>
      </c>
      <c r="W50" s="14" t="n">
        <f aca="false">T50-U50-V50</f>
        <v>-91.2054992566041</v>
      </c>
      <c r="X50" s="7" t="str">
        <f aca="false">LEFT(A50,7)</f>
        <v>2026-02</v>
      </c>
    </row>
    <row r="51" customFormat="false" ht="15" hidden="false" customHeight="false" outlineLevel="0" collapsed="false">
      <c r="A51" s="7" t="s">
        <v>242</v>
      </c>
      <c r="B51" s="7" t="s">
        <v>213</v>
      </c>
      <c r="C51" s="7" t="s">
        <v>64</v>
      </c>
      <c r="D51" s="7" t="s">
        <v>60</v>
      </c>
      <c r="E51" s="7" t="s">
        <v>66</v>
      </c>
      <c r="F51" s="28" t="n">
        <v>46069.8125</v>
      </c>
      <c r="G51" s="29" t="n">
        <v>68369.1711</v>
      </c>
      <c r="H51" s="29" t="n">
        <v>67917.9875</v>
      </c>
      <c r="I51" s="28" t="n">
        <v>46069.8229166667</v>
      </c>
      <c r="J51" s="29" t="n">
        <v>68481.30509918</v>
      </c>
      <c r="K51" s="7" t="s">
        <v>69</v>
      </c>
      <c r="L51" s="30" t="n">
        <v>0.002</v>
      </c>
      <c r="M51" s="12" t="n">
        <f aca="false">L51*G51*Settings!$B$5</f>
        <v>12032.9741136</v>
      </c>
      <c r="N51" s="31" t="n">
        <f aca="false">(I51-F51)*24</f>
        <v>0.25</v>
      </c>
      <c r="O51" s="12" t="n">
        <v>28.512602500802</v>
      </c>
      <c r="P51" s="12" t="n">
        <v>14.276090002649</v>
      </c>
      <c r="Q51" s="12" t="n">
        <f aca="false">2*Calculator!$C$5*M51</f>
        <v>14.198909454048</v>
      </c>
      <c r="R51" s="12" t="n">
        <f aca="false">O51-P51-Q51</f>
        <v>0.0376030441049924</v>
      </c>
      <c r="S51" s="12" t="n">
        <f aca="false">O51+2*Calculator!$C$6*M51</f>
        <v>33.325792146242</v>
      </c>
      <c r="T51" s="12" t="n">
        <f aca="false">S51-2*Calculator!$B$6*M51</f>
        <v>28.512602500802</v>
      </c>
      <c r="U51" s="12" t="n">
        <f aca="false">2*Calculator!$B$5*M51</f>
        <v>14.198909454048</v>
      </c>
      <c r="V51" s="12" t="n">
        <f aca="false">R51*Calculator!$B$7/Calculator!$C$7</f>
        <v>0.0376030441049924</v>
      </c>
      <c r="W51" s="14" t="n">
        <f aca="false">T51-U51-V51</f>
        <v>14.276090002649</v>
      </c>
      <c r="X51" s="7" t="str">
        <f aca="false">LEFT(A51,7)</f>
        <v>2026-02</v>
      </c>
    </row>
    <row r="52" customFormat="false" ht="15" hidden="false" customHeight="false" outlineLevel="0" collapsed="false">
      <c r="A52" s="7" t="s">
        <v>243</v>
      </c>
      <c r="B52" s="7" t="s">
        <v>209</v>
      </c>
      <c r="C52" s="7" t="s">
        <v>63</v>
      </c>
      <c r="D52" s="7" t="s">
        <v>60</v>
      </c>
      <c r="E52" s="7" t="s">
        <v>67</v>
      </c>
      <c r="F52" s="28" t="n">
        <v>46070.5625</v>
      </c>
      <c r="G52" s="29" t="n">
        <v>68339.72932</v>
      </c>
      <c r="H52" s="29" t="n">
        <v>68759.8331</v>
      </c>
      <c r="I52" s="28" t="n">
        <v>46070.59375</v>
      </c>
      <c r="J52" s="29" t="n">
        <v>68219.667150189</v>
      </c>
      <c r="K52" s="7" t="s">
        <v>69</v>
      </c>
      <c r="L52" s="30" t="n">
        <v>0.002</v>
      </c>
      <c r="M52" s="12" t="n">
        <f aca="false">L52*G52*Settings!$B$5</f>
        <v>12027.79236032</v>
      </c>
      <c r="N52" s="31" t="n">
        <f aca="false">(I52-F52)*24</f>
        <v>0.75</v>
      </c>
      <c r="O52" s="12" t="n">
        <v>27.8509549406011</v>
      </c>
      <c r="P52" s="12" t="n">
        <v>13.5641928276085</v>
      </c>
      <c r="Q52" s="12" t="n">
        <f aca="false">2*Calculator!$C$5*M52</f>
        <v>14.1927949851776</v>
      </c>
      <c r="R52" s="12" t="n">
        <f aca="false">O52-P52-Q52</f>
        <v>0.0939671278149898</v>
      </c>
      <c r="S52" s="12" t="n">
        <f aca="false">O52+2*Calculator!$C$6*M52</f>
        <v>32.6620718847291</v>
      </c>
      <c r="T52" s="12" t="n">
        <f aca="false">S52-2*Calculator!$B$6*M52</f>
        <v>27.8509549406011</v>
      </c>
      <c r="U52" s="12" t="n">
        <f aca="false">2*Calculator!$B$5*M52</f>
        <v>14.1927949851776</v>
      </c>
      <c r="V52" s="12" t="n">
        <f aca="false">R52*Calculator!$B$7/Calculator!$C$7</f>
        <v>0.0939671278149898</v>
      </c>
      <c r="W52" s="14" t="n">
        <f aca="false">T52-U52-V52</f>
        <v>13.5641928276085</v>
      </c>
      <c r="X52" s="7" t="str">
        <f aca="false">LEFT(A52,7)</f>
        <v>2026-02</v>
      </c>
    </row>
    <row r="53" customFormat="false" ht="15" hidden="false" customHeight="false" outlineLevel="0" collapsed="false">
      <c r="A53" s="7" t="s">
        <v>244</v>
      </c>
      <c r="B53" s="7" t="s">
        <v>199</v>
      </c>
      <c r="C53" s="7" t="s">
        <v>64</v>
      </c>
      <c r="D53" s="7" t="s">
        <v>60</v>
      </c>
      <c r="E53" s="7" t="s">
        <v>66</v>
      </c>
      <c r="F53" s="28" t="n">
        <v>46071.8125</v>
      </c>
      <c r="G53" s="29" t="n">
        <v>67215.74046</v>
      </c>
      <c r="H53" s="29" t="n">
        <v>66876.99315</v>
      </c>
      <c r="I53" s="28" t="n">
        <v>46071.84375</v>
      </c>
      <c r="J53" s="29" t="n">
        <v>66863.61775137</v>
      </c>
      <c r="K53" s="7" t="s">
        <v>70</v>
      </c>
      <c r="L53" s="30" t="n">
        <v>0.003</v>
      </c>
      <c r="M53" s="12" t="n">
        <f aca="false">L53*G53*Settings!$B$5</f>
        <v>17744.95548144</v>
      </c>
      <c r="N53" s="31" t="n">
        <f aca="false">(I53-F53)*24</f>
        <v>0.75</v>
      </c>
      <c r="O53" s="12" t="n">
        <v>-92.9603950783178</v>
      </c>
      <c r="P53" s="12" t="n">
        <v>-114.065801504056</v>
      </c>
      <c r="Q53" s="12" t="n">
        <f aca="false">2*Calculator!$C$5*M53</f>
        <v>20.9390474680992</v>
      </c>
      <c r="R53" s="12" t="n">
        <f aca="false">O53-P53-Q53</f>
        <v>0.166358957638536</v>
      </c>
      <c r="S53" s="12" t="n">
        <f aca="false">O53+2*Calculator!$C$6*M53</f>
        <v>-85.8624128857418</v>
      </c>
      <c r="T53" s="12" t="n">
        <f aca="false">S53-2*Calculator!$B$6*M53</f>
        <v>-92.9603950783178</v>
      </c>
      <c r="U53" s="12" t="n">
        <f aca="false">2*Calculator!$B$5*M53</f>
        <v>20.9390474680992</v>
      </c>
      <c r="V53" s="12" t="n">
        <f aca="false">R53*Calculator!$B$7/Calculator!$C$7</f>
        <v>0.166358957638536</v>
      </c>
      <c r="W53" s="14" t="n">
        <f aca="false">T53-U53-V53</f>
        <v>-114.065801504056</v>
      </c>
      <c r="X53" s="7" t="str">
        <f aca="false">LEFT(A53,7)</f>
        <v>2026-02</v>
      </c>
    </row>
    <row r="54" customFormat="false" ht="15" hidden="false" customHeight="false" outlineLevel="0" collapsed="false">
      <c r="A54" s="7" t="s">
        <v>245</v>
      </c>
      <c r="B54" s="7" t="s">
        <v>201</v>
      </c>
      <c r="C54" s="7" t="s">
        <v>63</v>
      </c>
      <c r="D54" s="7" t="s">
        <v>60</v>
      </c>
      <c r="E54" s="7" t="s">
        <v>66</v>
      </c>
      <c r="F54" s="28" t="n">
        <v>46072.5625</v>
      </c>
      <c r="G54" s="29" t="n">
        <v>67193.83608</v>
      </c>
      <c r="H54" s="29" t="n">
        <v>66778.23955</v>
      </c>
      <c r="I54" s="28" t="n">
        <v>46072.5833333333</v>
      </c>
      <c r="J54" s="29" t="n">
        <v>66764.88390209</v>
      </c>
      <c r="K54" s="7" t="s">
        <v>70</v>
      </c>
      <c r="L54" s="30" t="n">
        <v>0.002</v>
      </c>
      <c r="M54" s="12" t="n">
        <f aca="false">L54*G54*Settings!$B$5</f>
        <v>11826.11515008</v>
      </c>
      <c r="N54" s="31" t="n">
        <f aca="false">(I54-F54)*24</f>
        <v>0.5</v>
      </c>
      <c r="O54" s="12" t="n">
        <v>-75.4955833121555</v>
      </c>
      <c r="P54" s="12" t="n">
        <v>-89.5243124089379</v>
      </c>
      <c r="Q54" s="12" t="n">
        <f aca="false">2*Calculator!$C$5*M54</f>
        <v>13.9548158770944</v>
      </c>
      <c r="R54" s="12" t="n">
        <f aca="false">O54-P54-Q54</f>
        <v>0.0739132196880004</v>
      </c>
      <c r="S54" s="12" t="n">
        <f aca="false">O54+2*Calculator!$C$6*M54</f>
        <v>-70.7651372521235</v>
      </c>
      <c r="T54" s="12" t="n">
        <f aca="false">S54-2*Calculator!$B$6*M54</f>
        <v>-75.4955833121555</v>
      </c>
      <c r="U54" s="12" t="n">
        <f aca="false">2*Calculator!$B$5*M54</f>
        <v>13.9548158770944</v>
      </c>
      <c r="V54" s="12" t="n">
        <f aca="false">R54*Calculator!$B$7/Calculator!$C$7</f>
        <v>0.0739132196880004</v>
      </c>
      <c r="W54" s="14" t="n">
        <f aca="false">T54-U54-V54</f>
        <v>-89.5243124089379</v>
      </c>
      <c r="X54" s="7" t="str">
        <f aca="false">LEFT(A54,7)</f>
        <v>2026-02</v>
      </c>
    </row>
    <row r="55" customFormat="false" ht="15" hidden="false" customHeight="false" outlineLevel="0" collapsed="false">
      <c r="A55" s="7" t="s">
        <v>246</v>
      </c>
      <c r="B55" s="7" t="s">
        <v>203</v>
      </c>
      <c r="C55" s="7" t="s">
        <v>64</v>
      </c>
      <c r="D55" s="7" t="s">
        <v>60</v>
      </c>
      <c r="E55" s="7" t="s">
        <v>67</v>
      </c>
      <c r="F55" s="28" t="n">
        <v>46073.84375</v>
      </c>
      <c r="G55" s="29" t="n">
        <v>67028.89154</v>
      </c>
      <c r="H55" s="29" t="n">
        <v>67486.7298</v>
      </c>
      <c r="I55" s="28" t="n">
        <v>46073.8541666667</v>
      </c>
      <c r="J55" s="29" t="n">
        <v>67500.22714596</v>
      </c>
      <c r="K55" s="7" t="s">
        <v>70</v>
      </c>
      <c r="L55" s="30" t="n">
        <v>0.002</v>
      </c>
      <c r="M55" s="12" t="n">
        <f aca="false">L55*G55*Settings!$B$5</f>
        <v>11797.08491104</v>
      </c>
      <c r="N55" s="31" t="n">
        <f aca="false">(I55-F55)*24</f>
        <v>0.25</v>
      </c>
      <c r="O55" s="12" t="n">
        <v>-82.9550666489557</v>
      </c>
      <c r="P55" s="12" t="n">
        <v>-96.9124927343299</v>
      </c>
      <c r="Q55" s="12" t="n">
        <f aca="false">2*Calculator!$C$5*M55</f>
        <v>13.9205601950272</v>
      </c>
      <c r="R55" s="12" t="n">
        <f aca="false">O55-P55-Q55</f>
        <v>0.0368658903469754</v>
      </c>
      <c r="S55" s="12" t="n">
        <f aca="false">O55+2*Calculator!$C$6*M55</f>
        <v>-78.2362326845397</v>
      </c>
      <c r="T55" s="12" t="n">
        <f aca="false">S55-2*Calculator!$B$6*M55</f>
        <v>-82.9550666489557</v>
      </c>
      <c r="U55" s="12" t="n">
        <f aca="false">2*Calculator!$B$5*M55</f>
        <v>13.9205601950272</v>
      </c>
      <c r="V55" s="12" t="n">
        <f aca="false">R55*Calculator!$B$7/Calculator!$C$7</f>
        <v>0.0368658903469754</v>
      </c>
      <c r="W55" s="14" t="n">
        <f aca="false">T55-U55-V55</f>
        <v>-96.9124927343299</v>
      </c>
      <c r="X55" s="7" t="str">
        <f aca="false">LEFT(A55,7)</f>
        <v>2026-02</v>
      </c>
    </row>
    <row r="56" customFormat="false" ht="15" hidden="false" customHeight="false" outlineLevel="0" collapsed="false">
      <c r="A56" s="7" t="s">
        <v>247</v>
      </c>
      <c r="B56" s="7" t="s">
        <v>207</v>
      </c>
      <c r="C56" s="7" t="s">
        <v>64</v>
      </c>
      <c r="D56" s="7" t="s">
        <v>60</v>
      </c>
      <c r="E56" s="7" t="s">
        <v>66</v>
      </c>
      <c r="F56" s="28" t="n">
        <v>46075.8229166667</v>
      </c>
      <c r="G56" s="29" t="n">
        <v>67634.22414</v>
      </c>
      <c r="H56" s="29" t="n">
        <v>67234.079</v>
      </c>
      <c r="I56" s="28" t="n">
        <v>46075.9583333333</v>
      </c>
      <c r="J56" s="29" t="n">
        <v>67220.6321842</v>
      </c>
      <c r="K56" s="7" t="s">
        <v>70</v>
      </c>
      <c r="L56" s="30" t="n">
        <v>0.002</v>
      </c>
      <c r="M56" s="12" t="n">
        <f aca="false">L56*G56*Settings!$B$5</f>
        <v>11903.62344864</v>
      </c>
      <c r="N56" s="31" t="n">
        <f aca="false">(I56-F56)*24</f>
        <v>3.25000000046556</v>
      </c>
      <c r="O56" s="12" t="n">
        <v>-72.7921842207978</v>
      </c>
      <c r="P56" s="12" t="n">
        <v>-87.322044592794</v>
      </c>
      <c r="Q56" s="12" t="n">
        <f aca="false">2*Calculator!$C$5*M56</f>
        <v>14.0462756693952</v>
      </c>
      <c r="R56" s="12" t="n">
        <f aca="false">O56-P56-Q56</f>
        <v>0.483584702601011</v>
      </c>
      <c r="S56" s="12" t="n">
        <f aca="false">O56+2*Calculator!$C$6*M56</f>
        <v>-68.0307348413418</v>
      </c>
      <c r="T56" s="12" t="n">
        <f aca="false">S56-2*Calculator!$B$6*M56</f>
        <v>-72.7921842207978</v>
      </c>
      <c r="U56" s="12" t="n">
        <f aca="false">2*Calculator!$B$5*M56</f>
        <v>14.0462756693952</v>
      </c>
      <c r="V56" s="12" t="n">
        <f aca="false">R56*Calculator!$B$7/Calculator!$C$7</f>
        <v>0.483584702601011</v>
      </c>
      <c r="W56" s="14" t="n">
        <f aca="false">T56-U56-V56</f>
        <v>-87.322044592794</v>
      </c>
      <c r="X56" s="7" t="str">
        <f aca="false">LEFT(A56,7)</f>
        <v>2026-02</v>
      </c>
    </row>
    <row r="57" customFormat="false" ht="15" hidden="false" customHeight="false" outlineLevel="0" collapsed="false">
      <c r="A57" s="7" t="s">
        <v>248</v>
      </c>
      <c r="B57" s="7" t="s">
        <v>209</v>
      </c>
      <c r="C57" s="7" t="s">
        <v>63</v>
      </c>
      <c r="D57" s="7" t="s">
        <v>60</v>
      </c>
      <c r="E57" s="7" t="s">
        <v>66</v>
      </c>
      <c r="F57" s="28" t="n">
        <v>46077.5625</v>
      </c>
      <c r="G57" s="29" t="n">
        <v>63168.03108</v>
      </c>
      <c r="H57" s="29" t="n">
        <v>62766.275</v>
      </c>
      <c r="I57" s="28" t="n">
        <v>46077.6041666667</v>
      </c>
      <c r="J57" s="29" t="n">
        <v>63319.294587804</v>
      </c>
      <c r="K57" s="7" t="s">
        <v>69</v>
      </c>
      <c r="L57" s="30" t="n">
        <v>0.002</v>
      </c>
      <c r="M57" s="12" t="n">
        <f aca="false">L57*G57*Settings!$B$5</f>
        <v>11117.57347008</v>
      </c>
      <c r="N57" s="31" t="n">
        <f aca="false">(I57-F57)*24</f>
        <v>1</v>
      </c>
      <c r="O57" s="12" t="n">
        <v>29.87316340624</v>
      </c>
      <c r="P57" s="12" t="n">
        <v>16.6501994602636</v>
      </c>
      <c r="Q57" s="12" t="n">
        <f aca="false">2*Calculator!$C$5*M57</f>
        <v>13.1187366946944</v>
      </c>
      <c r="R57" s="12" t="n">
        <f aca="false">O57-P57-Q57</f>
        <v>0.104227251281998</v>
      </c>
      <c r="S57" s="12" t="n">
        <f aca="false">O57+2*Calculator!$C$6*M57</f>
        <v>34.320192794272</v>
      </c>
      <c r="T57" s="12" t="n">
        <f aca="false">S57-2*Calculator!$B$6*M57</f>
        <v>29.87316340624</v>
      </c>
      <c r="U57" s="12" t="n">
        <f aca="false">2*Calculator!$B$5*M57</f>
        <v>13.1187366946944</v>
      </c>
      <c r="V57" s="12" t="n">
        <f aca="false">R57*Calculator!$B$7/Calculator!$C$7</f>
        <v>0.104227251281998</v>
      </c>
      <c r="W57" s="14" t="n">
        <f aca="false">T57-U57-V57</f>
        <v>16.6501994602636</v>
      </c>
      <c r="X57" s="7" t="str">
        <f aca="false">LEFT(A57,7)</f>
        <v>2026-02</v>
      </c>
    </row>
    <row r="58" customFormat="false" ht="15" hidden="false" customHeight="false" outlineLevel="0" collapsed="false">
      <c r="A58" s="7" t="s">
        <v>249</v>
      </c>
      <c r="B58" s="7" t="s">
        <v>199</v>
      </c>
      <c r="C58" s="7" t="s">
        <v>64</v>
      </c>
      <c r="D58" s="7" t="s">
        <v>60</v>
      </c>
      <c r="E58" s="7" t="s">
        <v>67</v>
      </c>
      <c r="F58" s="28" t="n">
        <v>46078.8125</v>
      </c>
      <c r="G58" s="29" t="n">
        <v>66196.2581</v>
      </c>
      <c r="H58" s="29" t="n">
        <v>66698.69955</v>
      </c>
      <c r="I58" s="28" t="n">
        <v>46078.8333333333</v>
      </c>
      <c r="J58" s="29" t="n">
        <v>66712.03928991</v>
      </c>
      <c r="K58" s="7" t="s">
        <v>70</v>
      </c>
      <c r="L58" s="30" t="n">
        <v>0.002</v>
      </c>
      <c r="M58" s="12" t="n">
        <f aca="false">L58*G58*Settings!$B$5</f>
        <v>11650.5414256</v>
      </c>
      <c r="N58" s="31" t="n">
        <f aca="false">(I58-F58)*24</f>
        <v>0.5</v>
      </c>
      <c r="O58" s="12" t="n">
        <v>-90.7774894241558</v>
      </c>
      <c r="P58" s="12" t="n">
        <v>-104.597944190274</v>
      </c>
      <c r="Q58" s="12" t="n">
        <f aca="false">2*Calculator!$C$5*M58</f>
        <v>13.747638882208</v>
      </c>
      <c r="R58" s="12" t="n">
        <f aca="false">O58-P58-Q58</f>
        <v>0.0728158839099873</v>
      </c>
      <c r="S58" s="12" t="n">
        <f aca="false">O58+2*Calculator!$C$6*M58</f>
        <v>-86.1172728539158</v>
      </c>
      <c r="T58" s="12" t="n">
        <f aca="false">S58-2*Calculator!$B$6*M58</f>
        <v>-90.7774894241558</v>
      </c>
      <c r="U58" s="12" t="n">
        <f aca="false">2*Calculator!$B$5*M58</f>
        <v>13.747638882208</v>
      </c>
      <c r="V58" s="12" t="n">
        <f aca="false">R58*Calculator!$B$7/Calculator!$C$7</f>
        <v>0.0728158839099873</v>
      </c>
      <c r="W58" s="14" t="n">
        <f aca="false">T58-U58-V58</f>
        <v>-104.597944190274</v>
      </c>
      <c r="X58" s="7" t="str">
        <f aca="false">LEFT(A58,7)</f>
        <v>2026-02</v>
      </c>
    </row>
    <row r="59" customFormat="false" ht="15" hidden="false" customHeight="false" outlineLevel="0" collapsed="false">
      <c r="A59" s="7" t="s">
        <v>250</v>
      </c>
      <c r="B59" s="7" t="s">
        <v>201</v>
      </c>
      <c r="C59" s="7" t="s">
        <v>63</v>
      </c>
      <c r="D59" s="7" t="s">
        <v>59</v>
      </c>
      <c r="E59" s="7" t="s">
        <v>67</v>
      </c>
      <c r="F59" s="28" t="n">
        <v>46079.5625</v>
      </c>
      <c r="G59" s="29" t="n">
        <v>67786.44</v>
      </c>
      <c r="H59" s="29" t="n">
        <v>68060.23745</v>
      </c>
      <c r="I59" s="28" t="n">
        <v>46079.5729166667</v>
      </c>
      <c r="J59" s="29" t="n">
        <v>68073.84949749</v>
      </c>
      <c r="K59" s="7" t="s">
        <v>70</v>
      </c>
      <c r="L59" s="30" t="n">
        <v>0.004</v>
      </c>
      <c r="M59" s="12" t="n">
        <f aca="false">L59*G59*Settings!$B$5</f>
        <v>23860.82688</v>
      </c>
      <c r="N59" s="31" t="n">
        <f aca="false">(I59-F59)*24</f>
        <v>0.25</v>
      </c>
      <c r="O59" s="12" t="n">
        <v>-101.168143116477</v>
      </c>
      <c r="P59" s="12" t="n">
        <v>-129.398483918877</v>
      </c>
      <c r="Q59" s="12" t="n">
        <f aca="false">2*Calculator!$C$5*M59</f>
        <v>28.1557757184</v>
      </c>
      <c r="R59" s="12" t="n">
        <f aca="false">O59-P59-Q59</f>
        <v>0.0745650839999925</v>
      </c>
      <c r="S59" s="12" t="n">
        <f aca="false">O59+2*Calculator!$C$6*M59</f>
        <v>-91.6238123644774</v>
      </c>
      <c r="T59" s="12" t="n">
        <f aca="false">S59-2*Calculator!$B$6*M59</f>
        <v>-101.168143116477</v>
      </c>
      <c r="U59" s="12" t="n">
        <f aca="false">2*Calculator!$B$5*M59</f>
        <v>28.1557757184</v>
      </c>
      <c r="V59" s="12" t="n">
        <f aca="false">R59*Calculator!$B$7/Calculator!$C$7</f>
        <v>0.0745650839999925</v>
      </c>
      <c r="W59" s="14" t="n">
        <f aca="false">T59-U59-V59</f>
        <v>-129.398483918877</v>
      </c>
      <c r="X59" s="7" t="str">
        <f aca="false">LEFT(A59,7)</f>
        <v>2026-02</v>
      </c>
    </row>
    <row r="60" customFormat="false" ht="15" hidden="false" customHeight="false" outlineLevel="0" collapsed="false">
      <c r="A60" s="7" t="s">
        <v>251</v>
      </c>
      <c r="B60" s="7" t="s">
        <v>203</v>
      </c>
      <c r="C60" s="7" t="s">
        <v>64</v>
      </c>
      <c r="D60" s="7" t="s">
        <v>59</v>
      </c>
      <c r="E60" s="7" t="s">
        <v>66</v>
      </c>
      <c r="F60" s="28" t="n">
        <v>46080.8125</v>
      </c>
      <c r="G60" s="29" t="n">
        <v>66253.248</v>
      </c>
      <c r="H60" s="29" t="n">
        <v>65932.952</v>
      </c>
      <c r="I60" s="28" t="n">
        <v>46080.8333333333</v>
      </c>
      <c r="J60" s="29" t="n">
        <v>65919.7654096</v>
      </c>
      <c r="K60" s="7" t="s">
        <v>70</v>
      </c>
      <c r="L60" s="30" t="n">
        <v>0.003</v>
      </c>
      <c r="M60" s="12" t="n">
        <f aca="false">L60*G60*Settings!$B$5</f>
        <v>17490.857472</v>
      </c>
      <c r="N60" s="31" t="n">
        <f aca="false">(I60-F60)*24</f>
        <v>0.5</v>
      </c>
      <c r="O60" s="12" t="n">
        <v>-88.0394038655969</v>
      </c>
      <c r="P60" s="12" t="n">
        <v>-108.787933541757</v>
      </c>
      <c r="Q60" s="12" t="n">
        <f aca="false">2*Calculator!$C$5*M60</f>
        <v>20.63921181696</v>
      </c>
      <c r="R60" s="12" t="n">
        <f aca="false">O60-P60-Q60</f>
        <v>0.109317859200033</v>
      </c>
      <c r="S60" s="12" t="n">
        <f aca="false">O60+2*Calculator!$C$6*M60</f>
        <v>-81.0430608767969</v>
      </c>
      <c r="T60" s="12" t="n">
        <f aca="false">S60-2*Calculator!$B$6*M60</f>
        <v>-88.0394038655969</v>
      </c>
      <c r="U60" s="12" t="n">
        <f aca="false">2*Calculator!$B$5*M60</f>
        <v>20.63921181696</v>
      </c>
      <c r="V60" s="12" t="n">
        <f aca="false">R60*Calculator!$B$7/Calculator!$C$7</f>
        <v>0.109317859200033</v>
      </c>
      <c r="W60" s="14" t="n">
        <f aca="false">T60-U60-V60</f>
        <v>-108.787933541757</v>
      </c>
      <c r="X60" s="7" t="str">
        <f aca="false">LEFT(A60,7)</f>
        <v>2026-02</v>
      </c>
    </row>
    <row r="61" customFormat="false" ht="15" hidden="false" customHeight="false" outlineLevel="0" collapsed="false">
      <c r="A61" s="7" t="s">
        <v>252</v>
      </c>
      <c r="B61" s="7" t="s">
        <v>205</v>
      </c>
      <c r="C61" s="7" t="s">
        <v>63</v>
      </c>
      <c r="D61" s="7" t="s">
        <v>60</v>
      </c>
      <c r="E61" s="7" t="s">
        <v>66</v>
      </c>
      <c r="F61" s="28" t="n">
        <v>46081.5833333333</v>
      </c>
      <c r="G61" s="29" t="n">
        <v>63603.7182</v>
      </c>
      <c r="H61" s="29" t="n">
        <v>63136.601</v>
      </c>
      <c r="I61" s="28" t="n">
        <v>46081.6145833333</v>
      </c>
      <c r="J61" s="29" t="n">
        <v>63794.05933586</v>
      </c>
      <c r="K61" s="7" t="s">
        <v>69</v>
      </c>
      <c r="L61" s="30" t="n">
        <v>0.002</v>
      </c>
      <c r="M61" s="12" t="n">
        <f aca="false">L61*G61*Settings!$B$5</f>
        <v>11194.2544032</v>
      </c>
      <c r="N61" s="31" t="n">
        <f aca="false">(I61-F61)*24</f>
        <v>0.75</v>
      </c>
      <c r="O61" s="12" t="n">
        <v>36.1796406839995</v>
      </c>
      <c r="P61" s="12" t="n">
        <v>22.8654743531935</v>
      </c>
      <c r="Q61" s="12" t="n">
        <f aca="false">2*Calculator!$C$5*M61</f>
        <v>13.209220195776</v>
      </c>
      <c r="R61" s="12" t="n">
        <f aca="false">O61-P61-Q61</f>
        <v>0.104946135030001</v>
      </c>
      <c r="S61" s="12" t="n">
        <f aca="false">O61+2*Calculator!$C$6*M61</f>
        <v>40.6573424452795</v>
      </c>
      <c r="T61" s="12" t="n">
        <f aca="false">S61-2*Calculator!$B$6*M61</f>
        <v>36.1796406839995</v>
      </c>
      <c r="U61" s="12" t="n">
        <f aca="false">2*Calculator!$B$5*M61</f>
        <v>13.209220195776</v>
      </c>
      <c r="V61" s="12" t="n">
        <f aca="false">R61*Calculator!$B$7/Calculator!$C$7</f>
        <v>0.104946135030001</v>
      </c>
      <c r="W61" s="14" t="n">
        <f aca="false">T61-U61-V61</f>
        <v>22.8654743531935</v>
      </c>
      <c r="X61" s="7" t="str">
        <f aca="false">LEFT(A61,7)</f>
        <v>2026-02</v>
      </c>
    </row>
    <row r="62" customFormat="false" ht="15" hidden="false" customHeight="false" outlineLevel="0" collapsed="false">
      <c r="A62" s="7" t="s">
        <v>252</v>
      </c>
      <c r="B62" s="7" t="s">
        <v>205</v>
      </c>
      <c r="C62" s="7" t="s">
        <v>64</v>
      </c>
      <c r="D62" s="7" t="s">
        <v>59</v>
      </c>
      <c r="E62" s="7" t="s">
        <v>66</v>
      </c>
      <c r="F62" s="28" t="n">
        <v>46081.8125</v>
      </c>
      <c r="G62" s="29" t="n">
        <v>65082.5139</v>
      </c>
      <c r="H62" s="29" t="n">
        <v>63973.0962</v>
      </c>
      <c r="I62" s="28" t="n">
        <v>46082.0104166667</v>
      </c>
      <c r="J62" s="29" t="n">
        <v>65875.267885885</v>
      </c>
      <c r="K62" s="7" t="s">
        <v>69</v>
      </c>
      <c r="L62" s="30" t="n">
        <v>0.001</v>
      </c>
      <c r="M62" s="12" t="n">
        <f aca="false">L62*G62*Settings!$B$5</f>
        <v>5727.2612232</v>
      </c>
      <c r="N62" s="31" t="n">
        <f aca="false">(I62-F62)*24</f>
        <v>4.75</v>
      </c>
      <c r="O62" s="12" t="n">
        <v>69.7623507578812</v>
      </c>
      <c r="P62" s="12" t="n">
        <v>62.6641263793777</v>
      </c>
      <c r="Q62" s="12" t="n">
        <f aca="false">2*Calculator!$C$5*M62</f>
        <v>6.758168243376</v>
      </c>
      <c r="R62" s="12" t="n">
        <f aca="false">O62-P62-Q62</f>
        <v>0.34005613512751</v>
      </c>
      <c r="S62" s="12" t="n">
        <f aca="false">O62+2*Calculator!$C$6*M62</f>
        <v>72.0532552471612</v>
      </c>
      <c r="T62" s="12" t="n">
        <f aca="false">S62-2*Calculator!$B$6*M62</f>
        <v>69.7623507578812</v>
      </c>
      <c r="U62" s="12" t="n">
        <f aca="false">2*Calculator!$B$5*M62</f>
        <v>6.758168243376</v>
      </c>
      <c r="V62" s="12" t="n">
        <f aca="false">R62*Calculator!$B$7/Calculator!$C$7</f>
        <v>0.34005613512751</v>
      </c>
      <c r="W62" s="14" t="n">
        <f aca="false">T62-U62-V62</f>
        <v>62.6641263793777</v>
      </c>
      <c r="X62" s="7" t="str">
        <f aca="false">LEFT(A62,7)</f>
        <v>2026-02</v>
      </c>
    </row>
    <row r="63" customFormat="false" ht="15" hidden="false" customHeight="false" outlineLevel="0" collapsed="false">
      <c r="A63" s="7" t="s">
        <v>253</v>
      </c>
      <c r="B63" s="7" t="s">
        <v>207</v>
      </c>
      <c r="C63" s="7" t="s">
        <v>64</v>
      </c>
      <c r="D63" s="7" t="s">
        <v>59</v>
      </c>
      <c r="E63" s="7" t="s">
        <v>66</v>
      </c>
      <c r="F63" s="28" t="n">
        <v>46082.8125</v>
      </c>
      <c r="G63" s="29" t="n">
        <v>66920.58144</v>
      </c>
      <c r="H63" s="29" t="n">
        <v>66259.0621</v>
      </c>
      <c r="I63" s="28" t="n">
        <v>46082.8125</v>
      </c>
      <c r="J63" s="29" t="n">
        <v>67101.197240967</v>
      </c>
      <c r="K63" s="7" t="s">
        <v>69</v>
      </c>
      <c r="L63" s="30" t="n">
        <v>0.001</v>
      </c>
      <c r="M63" s="12" t="n">
        <f aca="false">L63*G63*Settings!$B$5</f>
        <v>5889.01116672</v>
      </c>
      <c r="N63" s="31" t="n">
        <f aca="false">(I63-F63)*24</f>
        <v>0</v>
      </c>
      <c r="O63" s="12" t="n">
        <v>15.8941904850963</v>
      </c>
      <c r="P63" s="12" t="n">
        <v>8.9451573083667</v>
      </c>
      <c r="Q63" s="12" t="n">
        <f aca="false">2*Calculator!$C$5*M63</f>
        <v>6.9490331767296</v>
      </c>
      <c r="R63" s="12" t="n">
        <f aca="false">O63-P63-Q63</f>
        <v>0</v>
      </c>
      <c r="S63" s="12" t="n">
        <f aca="false">O63+2*Calculator!$C$6*M63</f>
        <v>18.2497949517843</v>
      </c>
      <c r="T63" s="12" t="n">
        <f aca="false">S63-2*Calculator!$B$6*M63</f>
        <v>15.8941904850963</v>
      </c>
      <c r="U63" s="12" t="n">
        <f aca="false">2*Calculator!$B$5*M63</f>
        <v>6.9490331767296</v>
      </c>
      <c r="V63" s="12" t="n">
        <f aca="false">R63*Calculator!$B$7/Calculator!$C$7</f>
        <v>0</v>
      </c>
      <c r="W63" s="14" t="n">
        <f aca="false">T63-U63-V63</f>
        <v>8.9451573083667</v>
      </c>
      <c r="X63" s="7" t="str">
        <f aca="false">LEFT(A63,7)</f>
        <v>2026-03</v>
      </c>
    </row>
    <row r="64" customFormat="false" ht="15" hidden="false" customHeight="false" outlineLevel="0" collapsed="false">
      <c r="A64" s="7" t="s">
        <v>254</v>
      </c>
      <c r="B64" s="7" t="s">
        <v>209</v>
      </c>
      <c r="C64" s="7" t="s">
        <v>63</v>
      </c>
      <c r="D64" s="7" t="s">
        <v>60</v>
      </c>
      <c r="E64" s="7" t="s">
        <v>67</v>
      </c>
      <c r="F64" s="28" t="n">
        <v>46084.5625</v>
      </c>
      <c r="G64" s="29" t="n">
        <v>68124.57236</v>
      </c>
      <c r="H64" s="29" t="n">
        <v>68515.63915</v>
      </c>
      <c r="I64" s="28" t="n">
        <v>46084.59375</v>
      </c>
      <c r="J64" s="29" t="n">
        <v>66964.6569508395</v>
      </c>
      <c r="K64" s="7" t="s">
        <v>69</v>
      </c>
      <c r="L64" s="30" t="n">
        <v>0.002</v>
      </c>
      <c r="M64" s="12" t="n">
        <f aca="false">L64*G64*Settings!$B$5</f>
        <v>11989.92473536</v>
      </c>
      <c r="N64" s="31" t="n">
        <f aca="false">(I64-F64)*24</f>
        <v>0.75</v>
      </c>
      <c r="O64" s="12" t="n">
        <v>118.08394368034</v>
      </c>
      <c r="P64" s="12" t="n">
        <v>103.86089546302</v>
      </c>
      <c r="Q64" s="12" t="n">
        <f aca="false">2*Calculator!$C$5*M64</f>
        <v>14.1481111877248</v>
      </c>
      <c r="R64" s="12" t="n">
        <f aca="false">O64-P64-Q64</f>
        <v>0.0749370295959935</v>
      </c>
      <c r="S64" s="12" t="n">
        <f aca="false">O64+2*Calculator!$C$6*M64</f>
        <v>122.879913574484</v>
      </c>
      <c r="T64" s="12" t="n">
        <f aca="false">S64-2*Calculator!$B$6*M64</f>
        <v>118.08394368034</v>
      </c>
      <c r="U64" s="12" t="n">
        <f aca="false">2*Calculator!$B$5*M64</f>
        <v>14.1481111877248</v>
      </c>
      <c r="V64" s="12" t="n">
        <f aca="false">R64*Calculator!$B$7/Calculator!$C$7</f>
        <v>0.0749370295959935</v>
      </c>
      <c r="W64" s="14" t="n">
        <f aca="false">T64-U64-V64</f>
        <v>103.86089546302</v>
      </c>
      <c r="X64" s="7" t="str">
        <f aca="false">LEFT(A64,7)</f>
        <v>2026-03</v>
      </c>
    </row>
    <row r="65" customFormat="false" ht="15" hidden="false" customHeight="false" outlineLevel="0" collapsed="false">
      <c r="A65" s="7" t="s">
        <v>254</v>
      </c>
      <c r="B65" s="7" t="s">
        <v>209</v>
      </c>
      <c r="C65" s="7" t="s">
        <v>64</v>
      </c>
      <c r="D65" s="7" t="s">
        <v>60</v>
      </c>
      <c r="E65" s="7" t="s">
        <v>66</v>
      </c>
      <c r="F65" s="28" t="n">
        <v>46084.8125</v>
      </c>
      <c r="G65" s="29" t="n">
        <v>66907.07874</v>
      </c>
      <c r="H65" s="29" t="n">
        <v>66509.355</v>
      </c>
      <c r="I65" s="28" t="n">
        <v>46084.8125</v>
      </c>
      <c r="J65" s="29" t="n">
        <v>67125.941191187</v>
      </c>
      <c r="K65" s="7" t="s">
        <v>69</v>
      </c>
      <c r="L65" s="30" t="n">
        <v>0.002</v>
      </c>
      <c r="M65" s="12" t="n">
        <f aca="false">L65*G65*Settings!$B$5</f>
        <v>11775.64585824</v>
      </c>
      <c r="N65" s="31" t="n">
        <f aca="false">(I65-F65)*24</f>
        <v>0</v>
      </c>
      <c r="O65" s="12" t="n">
        <v>35.5786757097211</v>
      </c>
      <c r="P65" s="12" t="n">
        <v>21.6834135969979</v>
      </c>
      <c r="Q65" s="12" t="n">
        <f aca="false">2*Calculator!$C$5*M65</f>
        <v>13.8952621127232</v>
      </c>
      <c r="R65" s="12" t="n">
        <f aca="false">O65-P65-Q65</f>
        <v>0</v>
      </c>
      <c r="S65" s="12" t="n">
        <f aca="false">O65+2*Calculator!$C$6*M65</f>
        <v>40.288934053017</v>
      </c>
      <c r="T65" s="12" t="n">
        <f aca="false">S65-2*Calculator!$B$6*M65</f>
        <v>35.578675709721</v>
      </c>
      <c r="U65" s="12" t="n">
        <f aca="false">2*Calculator!$B$5*M65</f>
        <v>13.8952621127232</v>
      </c>
      <c r="V65" s="12" t="n">
        <f aca="false">R65*Calculator!$B$7/Calculator!$C$7</f>
        <v>0</v>
      </c>
      <c r="W65" s="14" t="n">
        <f aca="false">T65-U65-V65</f>
        <v>21.6834135969978</v>
      </c>
      <c r="X65" s="7" t="str">
        <f aca="false">LEFT(A65,7)</f>
        <v>2026-03</v>
      </c>
    </row>
    <row r="66" customFormat="false" ht="15" hidden="false" customHeight="false" outlineLevel="0" collapsed="false">
      <c r="A66" s="7" t="s">
        <v>255</v>
      </c>
      <c r="B66" s="7" t="s">
        <v>199</v>
      </c>
      <c r="C66" s="7" t="s">
        <v>63</v>
      </c>
      <c r="D66" s="7" t="s">
        <v>59</v>
      </c>
      <c r="E66" s="7" t="s">
        <v>66</v>
      </c>
      <c r="F66" s="28" t="n">
        <v>46085.5625</v>
      </c>
      <c r="G66" s="29" t="n">
        <v>69478.3929</v>
      </c>
      <c r="H66" s="29" t="n">
        <v>68884.518</v>
      </c>
      <c r="I66" s="28" t="n">
        <v>46085.59375</v>
      </c>
      <c r="J66" s="29" t="n">
        <v>71037.320968745</v>
      </c>
      <c r="K66" s="7" t="s">
        <v>69</v>
      </c>
      <c r="L66" s="30" t="n">
        <v>0.001</v>
      </c>
      <c r="M66" s="12" t="n">
        <f aca="false">L66*G66*Settings!$B$5</f>
        <v>6114.0985752</v>
      </c>
      <c r="N66" s="31" t="n">
        <f aca="false">(I66-F66)*24</f>
        <v>0.75</v>
      </c>
      <c r="O66" s="12" t="n">
        <v>137.185670049561</v>
      </c>
      <c r="P66" s="12" t="n">
        <v>129.913714056682</v>
      </c>
      <c r="Q66" s="12" t="n">
        <f aca="false">2*Calculator!$C$5*M66</f>
        <v>7.214636318736</v>
      </c>
      <c r="R66" s="12" t="n">
        <f aca="false">O66-P66-Q66</f>
        <v>0.0573196741425042</v>
      </c>
      <c r="S66" s="12" t="n">
        <f aca="false">O66+2*Calculator!$C$6*M66</f>
        <v>139.631309479641</v>
      </c>
      <c r="T66" s="12" t="n">
        <f aca="false">S66-2*Calculator!$B$6*M66</f>
        <v>137.185670049561</v>
      </c>
      <c r="U66" s="12" t="n">
        <f aca="false">2*Calculator!$B$5*M66</f>
        <v>7.214636318736</v>
      </c>
      <c r="V66" s="12" t="n">
        <f aca="false">R66*Calculator!$B$7/Calculator!$C$7</f>
        <v>0.0573196741425042</v>
      </c>
      <c r="W66" s="14" t="n">
        <f aca="false">T66-U66-V66</f>
        <v>129.913714056682</v>
      </c>
      <c r="X66" s="7" t="str">
        <f aca="false">LEFT(A66,7)</f>
        <v>2026-03</v>
      </c>
    </row>
    <row r="67" customFormat="false" ht="15" hidden="false" customHeight="false" outlineLevel="0" collapsed="false">
      <c r="A67" s="7" t="s">
        <v>256</v>
      </c>
      <c r="B67" s="7" t="s">
        <v>201</v>
      </c>
      <c r="C67" s="7" t="s">
        <v>64</v>
      </c>
      <c r="D67" s="7" t="s">
        <v>60</v>
      </c>
      <c r="E67" s="7" t="s">
        <v>67</v>
      </c>
      <c r="F67" s="28" t="n">
        <v>46086.8125</v>
      </c>
      <c r="G67" s="29" t="n">
        <v>72421.0129</v>
      </c>
      <c r="H67" s="29" t="n">
        <v>72845.3355</v>
      </c>
      <c r="I67" s="28" t="n">
        <v>46086.84375</v>
      </c>
      <c r="J67" s="29" t="n">
        <v>72020.58188613</v>
      </c>
      <c r="K67" s="7" t="s">
        <v>69</v>
      </c>
      <c r="L67" s="30" t="n">
        <v>0.002</v>
      </c>
      <c r="M67" s="12" t="n">
        <f aca="false">L67*G67*Settings!$B$5</f>
        <v>12746.0982704</v>
      </c>
      <c r="N67" s="31" t="n">
        <f aca="false">(I67-F67)*24</f>
        <v>0.75</v>
      </c>
      <c r="O67" s="12" t="n">
        <v>52.6372478324</v>
      </c>
      <c r="P67" s="12" t="n">
        <v>37.4972729805905</v>
      </c>
      <c r="Q67" s="12" t="n">
        <f aca="false">2*Calculator!$C$5*M67</f>
        <v>15.040395959072</v>
      </c>
      <c r="R67" s="12" t="n">
        <f aca="false">O67-P67-Q67</f>
        <v>0.0995788927374885</v>
      </c>
      <c r="S67" s="12" t="n">
        <f aca="false">O67+2*Calculator!$C$6*M67</f>
        <v>57.73568714056</v>
      </c>
      <c r="T67" s="12" t="n">
        <f aca="false">S67-2*Calculator!$B$6*M67</f>
        <v>52.6372478324</v>
      </c>
      <c r="U67" s="12" t="n">
        <f aca="false">2*Calculator!$B$5*M67</f>
        <v>15.040395959072</v>
      </c>
      <c r="V67" s="12" t="n">
        <f aca="false">R67*Calculator!$B$7/Calculator!$C$7</f>
        <v>0.0995788927374885</v>
      </c>
      <c r="W67" s="14" t="n">
        <f aca="false">T67-U67-V67</f>
        <v>37.4972729805905</v>
      </c>
      <c r="X67" s="7" t="str">
        <f aca="false">LEFT(A67,7)</f>
        <v>2026-03</v>
      </c>
    </row>
    <row r="68" customFormat="false" ht="15" hidden="false" customHeight="false" outlineLevel="0" collapsed="false">
      <c r="A68" s="7" t="s">
        <v>257</v>
      </c>
      <c r="B68" s="7" t="s">
        <v>203</v>
      </c>
      <c r="C68" s="7" t="s">
        <v>63</v>
      </c>
      <c r="D68" s="7" t="s">
        <v>60</v>
      </c>
      <c r="E68" s="7" t="s">
        <v>67</v>
      </c>
      <c r="F68" s="28" t="n">
        <v>46087.5625</v>
      </c>
      <c r="G68" s="29" t="n">
        <v>71012.49466</v>
      </c>
      <c r="H68" s="29" t="n">
        <v>71366.00835</v>
      </c>
      <c r="I68" s="28" t="n">
        <v>46087.5729166667</v>
      </c>
      <c r="J68" s="29" t="n">
        <v>70893.9543781845</v>
      </c>
      <c r="K68" s="7" t="s">
        <v>69</v>
      </c>
      <c r="L68" s="30" t="n">
        <v>0.003</v>
      </c>
      <c r="M68" s="12" t="n">
        <f aca="false">L68*G68*Settings!$B$5</f>
        <v>18747.29859024</v>
      </c>
      <c r="N68" s="31" t="n">
        <f aca="false">(I68-F68)*24</f>
        <v>0.25</v>
      </c>
      <c r="O68" s="12" t="n">
        <v>35.170982973986</v>
      </c>
      <c r="P68" s="12" t="n">
        <v>12.9905853294083</v>
      </c>
      <c r="Q68" s="12" t="n">
        <f aca="false">2*Calculator!$C$5*M68</f>
        <v>22.1218123364832</v>
      </c>
      <c r="R68" s="12" t="n">
        <f aca="false">O68-P68-Q68</f>
        <v>0.0585853080944965</v>
      </c>
      <c r="S68" s="12" t="n">
        <f aca="false">O68+2*Calculator!$C$6*M68</f>
        <v>42.669902410082</v>
      </c>
      <c r="T68" s="12" t="n">
        <f aca="false">S68-2*Calculator!$B$6*M68</f>
        <v>35.170982973986</v>
      </c>
      <c r="U68" s="12" t="n">
        <f aca="false">2*Calculator!$B$5*M68</f>
        <v>22.1218123364832</v>
      </c>
      <c r="V68" s="12" t="n">
        <f aca="false">R68*Calculator!$B$7/Calculator!$C$7</f>
        <v>0.0585853080944965</v>
      </c>
      <c r="W68" s="14" t="n">
        <f aca="false">T68-U68-V68</f>
        <v>12.9905853294083</v>
      </c>
      <c r="X68" s="7" t="str">
        <f aca="false">LEFT(A68,7)</f>
        <v>2026-03</v>
      </c>
    </row>
    <row r="69" customFormat="false" ht="15" hidden="false" customHeight="false" outlineLevel="0" collapsed="false">
      <c r="A69" s="7" t="s">
        <v>257</v>
      </c>
      <c r="B69" s="7" t="s">
        <v>203</v>
      </c>
      <c r="C69" s="7" t="s">
        <v>64</v>
      </c>
      <c r="D69" s="7" t="s">
        <v>59</v>
      </c>
      <c r="E69" s="7" t="s">
        <v>67</v>
      </c>
      <c r="F69" s="28" t="n">
        <v>46087.8125</v>
      </c>
      <c r="G69" s="29" t="n">
        <v>69175.76208</v>
      </c>
      <c r="H69" s="29" t="n">
        <v>69857.72965</v>
      </c>
      <c r="I69" s="28" t="n">
        <v>46087.8125</v>
      </c>
      <c r="J69" s="29" t="n">
        <v>68784.3460108785</v>
      </c>
      <c r="K69" s="7" t="s">
        <v>69</v>
      </c>
      <c r="L69" s="30" t="n">
        <v>0.001</v>
      </c>
      <c r="M69" s="12" t="n">
        <f aca="false">L69*G69*Settings!$B$5</f>
        <v>6087.46706304</v>
      </c>
      <c r="N69" s="31" t="n">
        <f aca="false">(I69-F69)*24</f>
        <v>0</v>
      </c>
      <c r="O69" s="12" t="n">
        <v>34.4446140826927</v>
      </c>
      <c r="P69" s="12" t="n">
        <v>27.2614029483055</v>
      </c>
      <c r="Q69" s="12" t="n">
        <f aca="false">2*Calculator!$C$5*M69</f>
        <v>7.1832111343872</v>
      </c>
      <c r="R69" s="12" t="n">
        <f aca="false">O69-P69-Q69</f>
        <v>0</v>
      </c>
      <c r="S69" s="12" t="n">
        <f aca="false">O69+2*Calculator!$C$6*M69</f>
        <v>36.8796009079087</v>
      </c>
      <c r="T69" s="12" t="n">
        <f aca="false">S69-2*Calculator!$B$6*M69</f>
        <v>34.4446140826927</v>
      </c>
      <c r="U69" s="12" t="n">
        <f aca="false">2*Calculator!$B$5*M69</f>
        <v>7.1832111343872</v>
      </c>
      <c r="V69" s="12" t="n">
        <f aca="false">R69*Calculator!$B$7/Calculator!$C$7</f>
        <v>0</v>
      </c>
      <c r="W69" s="14" t="n">
        <f aca="false">T69-U69-V69</f>
        <v>27.2614029483055</v>
      </c>
      <c r="X69" s="7" t="str">
        <f aca="false">LEFT(A69,7)</f>
        <v>2026-03</v>
      </c>
    </row>
    <row r="70" customFormat="false" ht="15" hidden="false" customHeight="false" outlineLevel="0" collapsed="false">
      <c r="A70" s="7" t="s">
        <v>258</v>
      </c>
      <c r="B70" s="7" t="s">
        <v>207</v>
      </c>
      <c r="C70" s="7" t="s">
        <v>63</v>
      </c>
      <c r="D70" s="7" t="s">
        <v>60</v>
      </c>
      <c r="E70" s="7" t="s">
        <v>67</v>
      </c>
      <c r="F70" s="28" t="n">
        <v>46089.5625</v>
      </c>
      <c r="G70" s="29" t="n">
        <v>67263.64458</v>
      </c>
      <c r="H70" s="29" t="n">
        <v>67634.89355</v>
      </c>
      <c r="I70" s="28" t="n">
        <v>46089.6041666667</v>
      </c>
      <c r="J70" s="29" t="n">
        <v>67648.42052871</v>
      </c>
      <c r="K70" s="7" t="s">
        <v>70</v>
      </c>
      <c r="L70" s="30" t="n">
        <v>0.003</v>
      </c>
      <c r="M70" s="12" t="n">
        <f aca="false">L70*G70*Settings!$B$5</f>
        <v>17757.60216912</v>
      </c>
      <c r="N70" s="31" t="n">
        <f aca="false">(I70-F70)*24</f>
        <v>1</v>
      </c>
      <c r="O70" s="12" t="n">
        <v>-101.580850459436</v>
      </c>
      <c r="P70" s="12" t="n">
        <v>-122.756791046111</v>
      </c>
      <c r="Q70" s="12" t="n">
        <f aca="false">2*Calculator!$C$5*M70</f>
        <v>20.9539705595616</v>
      </c>
      <c r="R70" s="12" t="n">
        <f aca="false">O70-P70-Q70</f>
        <v>0.221970027114008</v>
      </c>
      <c r="S70" s="12" t="n">
        <f aca="false">O70+2*Calculator!$C$6*M70</f>
        <v>-94.4778095917875</v>
      </c>
      <c r="T70" s="12" t="n">
        <f aca="false">S70-2*Calculator!$B$6*M70</f>
        <v>-101.580850459436</v>
      </c>
      <c r="U70" s="12" t="n">
        <f aca="false">2*Calculator!$B$5*M70</f>
        <v>20.9539705595616</v>
      </c>
      <c r="V70" s="12" t="n">
        <f aca="false">R70*Calculator!$B$7/Calculator!$C$7</f>
        <v>0.221970027114008</v>
      </c>
      <c r="W70" s="14" t="n">
        <f aca="false">T70-U70-V70</f>
        <v>-122.756791046111</v>
      </c>
      <c r="X70" s="7" t="str">
        <f aca="false">LEFT(A70,7)</f>
        <v>2026-03</v>
      </c>
    </row>
    <row r="71" customFormat="false" ht="15" hidden="false" customHeight="false" outlineLevel="0" collapsed="false">
      <c r="A71" s="7" t="s">
        <v>259</v>
      </c>
      <c r="B71" s="7" t="s">
        <v>213</v>
      </c>
      <c r="C71" s="7" t="s">
        <v>64</v>
      </c>
      <c r="D71" s="7" t="s">
        <v>60</v>
      </c>
      <c r="E71" s="7" t="s">
        <v>67</v>
      </c>
      <c r="F71" s="28" t="n">
        <v>46090.8125</v>
      </c>
      <c r="G71" s="29" t="n">
        <v>68926.212</v>
      </c>
      <c r="H71" s="29" t="n">
        <v>69558.8124</v>
      </c>
      <c r="I71" s="28" t="n">
        <v>46090.9166666667</v>
      </c>
      <c r="J71" s="29" t="n">
        <v>68758.29901002</v>
      </c>
      <c r="K71" s="7" t="s">
        <v>69</v>
      </c>
      <c r="L71" s="30" t="n">
        <v>0.001</v>
      </c>
      <c r="M71" s="12" t="n">
        <f aca="false">L71*G71*Settings!$B$5</f>
        <v>6065.506656</v>
      </c>
      <c r="N71" s="31" t="n">
        <f aca="false">(I71-F71)*24</f>
        <v>2.5</v>
      </c>
      <c r="O71" s="12" t="n">
        <v>14.7763431182402</v>
      </c>
      <c r="P71" s="12" t="n">
        <v>7.42949818116024</v>
      </c>
      <c r="Q71" s="12" t="n">
        <f aca="false">2*Calculator!$C$5*M71</f>
        <v>7.15729785408</v>
      </c>
      <c r="R71" s="12" t="n">
        <f aca="false">O71-P71-Q71</f>
        <v>0.189547082999996</v>
      </c>
      <c r="S71" s="12" t="n">
        <f aca="false">O71+2*Calculator!$C$6*M71</f>
        <v>17.2025457806402</v>
      </c>
      <c r="T71" s="12" t="n">
        <f aca="false">S71-2*Calculator!$B$6*M71</f>
        <v>14.7763431182402</v>
      </c>
      <c r="U71" s="12" t="n">
        <f aca="false">2*Calculator!$B$5*M71</f>
        <v>7.15729785408</v>
      </c>
      <c r="V71" s="12" t="n">
        <f aca="false">R71*Calculator!$B$7/Calculator!$C$7</f>
        <v>0.189547082999996</v>
      </c>
      <c r="W71" s="14" t="n">
        <f aca="false">T71-U71-V71</f>
        <v>7.42949818116024</v>
      </c>
      <c r="X71" s="7" t="str">
        <f aca="false">LEFT(A71,7)</f>
        <v>2026-03</v>
      </c>
    </row>
    <row r="72" customFormat="false" ht="15" hidden="false" customHeight="false" outlineLevel="0" collapsed="false">
      <c r="A72" s="7" t="s">
        <v>260</v>
      </c>
      <c r="B72" s="7" t="s">
        <v>209</v>
      </c>
      <c r="C72" s="7" t="s">
        <v>63</v>
      </c>
      <c r="D72" s="7" t="s">
        <v>60</v>
      </c>
      <c r="E72" s="7" t="s">
        <v>66</v>
      </c>
      <c r="F72" s="28" t="n">
        <v>46091.5625</v>
      </c>
      <c r="G72" s="29" t="n">
        <v>70388.77494</v>
      </c>
      <c r="H72" s="29" t="n">
        <v>69943.83</v>
      </c>
      <c r="I72" s="28" t="n">
        <v>46091.5729166667</v>
      </c>
      <c r="J72" s="29" t="n">
        <v>70774.606012247</v>
      </c>
      <c r="K72" s="7" t="s">
        <v>69</v>
      </c>
      <c r="L72" s="30" t="n">
        <v>0.002</v>
      </c>
      <c r="M72" s="12" t="n">
        <f aca="false">L72*G72*Settings!$B$5</f>
        <v>12388.42438944</v>
      </c>
      <c r="N72" s="31" t="n">
        <f aca="false">(I72-F72)*24</f>
        <v>0.25</v>
      </c>
      <c r="O72" s="12" t="n">
        <v>52.2879537633215</v>
      </c>
      <c r="P72" s="12" t="n">
        <v>37.6502560706738</v>
      </c>
      <c r="Q72" s="12" t="n">
        <f aca="false">2*Calculator!$C$5*M72</f>
        <v>14.6183407795392</v>
      </c>
      <c r="R72" s="12" t="n">
        <f aca="false">O72-P72-Q72</f>
        <v>0.0193569131084992</v>
      </c>
      <c r="S72" s="12" t="n">
        <f aca="false">O72+2*Calculator!$C$6*M72</f>
        <v>57.2433235190975</v>
      </c>
      <c r="T72" s="12" t="n">
        <f aca="false">S72-2*Calculator!$B$6*M72</f>
        <v>52.2879537633215</v>
      </c>
      <c r="U72" s="12" t="n">
        <f aca="false">2*Calculator!$B$5*M72</f>
        <v>14.6183407795392</v>
      </c>
      <c r="V72" s="12" t="n">
        <f aca="false">R72*Calculator!$B$7/Calculator!$C$7</f>
        <v>0.0193569131084992</v>
      </c>
      <c r="W72" s="14" t="n">
        <f aca="false">T72-U72-V72</f>
        <v>37.6502560706738</v>
      </c>
      <c r="X72" s="7" t="str">
        <f aca="false">LEFT(A72,7)</f>
        <v>2026-03</v>
      </c>
    </row>
    <row r="73" customFormat="false" ht="15" hidden="false" customHeight="false" outlineLevel="0" collapsed="false">
      <c r="A73" s="7" t="s">
        <v>261</v>
      </c>
      <c r="B73" s="7" t="s">
        <v>199</v>
      </c>
      <c r="C73" s="7" t="s">
        <v>63</v>
      </c>
      <c r="D73" s="7" t="s">
        <v>60</v>
      </c>
      <c r="E73" s="7" t="s">
        <v>67</v>
      </c>
      <c r="F73" s="28" t="n">
        <v>46092.5729166667</v>
      </c>
      <c r="G73" s="29" t="n">
        <v>69588.77946</v>
      </c>
      <c r="H73" s="29" t="n">
        <v>70060.6606</v>
      </c>
      <c r="I73" s="28" t="n">
        <v>46092.625</v>
      </c>
      <c r="J73" s="29" t="n">
        <v>69455.958699057</v>
      </c>
      <c r="K73" s="7" t="s">
        <v>69</v>
      </c>
      <c r="L73" s="30" t="n">
        <v>0.002</v>
      </c>
      <c r="M73" s="12" t="n">
        <f aca="false">L73*G73*Settings!$B$5</f>
        <v>12247.62518496</v>
      </c>
      <c r="N73" s="31" t="n">
        <f aca="false">(I73-F73)*24</f>
        <v>1.25</v>
      </c>
      <c r="O73" s="12" t="n">
        <v>31.2303871585194</v>
      </c>
      <c r="P73" s="12" t="n">
        <v>16.5868202967516</v>
      </c>
      <c r="Q73" s="12" t="n">
        <f aca="false">2*Calculator!$C$5*M73</f>
        <v>14.4521977182528</v>
      </c>
      <c r="R73" s="12" t="n">
        <f aca="false">O73-P73-Q73</f>
        <v>0.191369143515006</v>
      </c>
      <c r="S73" s="12" t="n">
        <f aca="false">O73+2*Calculator!$C$6*M73</f>
        <v>36.1294372325034</v>
      </c>
      <c r="T73" s="12" t="n">
        <f aca="false">S73-2*Calculator!$B$6*M73</f>
        <v>31.2303871585194</v>
      </c>
      <c r="U73" s="12" t="n">
        <f aca="false">2*Calculator!$B$5*M73</f>
        <v>14.4521977182528</v>
      </c>
      <c r="V73" s="12" t="n">
        <f aca="false">R73*Calculator!$B$7/Calculator!$C$7</f>
        <v>0.191369143515006</v>
      </c>
      <c r="W73" s="14" t="n">
        <f aca="false">T73-U73-V73</f>
        <v>16.5868202967516</v>
      </c>
      <c r="X73" s="7" t="str">
        <f aca="false">LEFT(A73,7)</f>
        <v>2026-03</v>
      </c>
    </row>
    <row r="74" customFormat="false" ht="15" hidden="false" customHeight="false" outlineLevel="0" collapsed="false">
      <c r="A74" s="7" t="s">
        <v>262</v>
      </c>
      <c r="B74" s="7" t="s">
        <v>201</v>
      </c>
      <c r="C74" s="7" t="s">
        <v>64</v>
      </c>
      <c r="D74" s="7" t="s">
        <v>60</v>
      </c>
      <c r="E74" s="7" t="s">
        <v>66</v>
      </c>
      <c r="F74" s="28" t="n">
        <v>46093.8125</v>
      </c>
      <c r="G74" s="29" t="n">
        <v>69944.38608</v>
      </c>
      <c r="H74" s="29" t="n">
        <v>69586.8437</v>
      </c>
      <c r="I74" s="28" t="n">
        <v>46093.8229166667</v>
      </c>
      <c r="J74" s="29" t="n">
        <v>70272.457102119</v>
      </c>
      <c r="K74" s="7" t="s">
        <v>69</v>
      </c>
      <c r="L74" s="30" t="n">
        <v>0.003</v>
      </c>
      <c r="M74" s="12" t="n">
        <f aca="false">L74*G74*Settings!$B$5</f>
        <v>18465.31792512</v>
      </c>
      <c r="N74" s="31" t="n">
        <f aca="false">(I74-F74)*24</f>
        <v>0.25</v>
      </c>
      <c r="O74" s="12" t="n">
        <v>72.2381970449912</v>
      </c>
      <c r="P74" s="12" t="n">
        <v>50.4106524810056</v>
      </c>
      <c r="Q74" s="12" t="n">
        <f aca="false">2*Calculator!$C$5*M74</f>
        <v>21.7890751516416</v>
      </c>
      <c r="R74" s="12" t="n">
        <f aca="false">O74-P74-Q74</f>
        <v>0.0384694123439999</v>
      </c>
      <c r="S74" s="12" t="n">
        <f aca="false">O74+2*Calculator!$C$6*M74</f>
        <v>79.6243242150392</v>
      </c>
      <c r="T74" s="12" t="n">
        <f aca="false">S74-2*Calculator!$B$6*M74</f>
        <v>72.2381970449912</v>
      </c>
      <c r="U74" s="12" t="n">
        <f aca="false">2*Calculator!$B$5*M74</f>
        <v>21.7890751516416</v>
      </c>
      <c r="V74" s="12" t="n">
        <f aca="false">R74*Calculator!$B$7/Calculator!$C$7</f>
        <v>0.0384694123439999</v>
      </c>
      <c r="W74" s="14" t="n">
        <f aca="false">T74-U74-V74</f>
        <v>50.4106524810056</v>
      </c>
      <c r="X74" s="7" t="str">
        <f aca="false">LEFT(A74,7)</f>
        <v>2026-03</v>
      </c>
    </row>
    <row r="75" customFormat="false" ht="15" hidden="false" customHeight="false" outlineLevel="0" collapsed="false">
      <c r="A75" s="7" t="s">
        <v>263</v>
      </c>
      <c r="B75" s="7" t="s">
        <v>205</v>
      </c>
      <c r="C75" s="7" t="s">
        <v>63</v>
      </c>
      <c r="D75" s="7" t="s">
        <v>60</v>
      </c>
      <c r="E75" s="7" t="s">
        <v>66</v>
      </c>
      <c r="F75" s="28" t="n">
        <v>46095.5625</v>
      </c>
      <c r="G75" s="29" t="n">
        <v>70579.71312</v>
      </c>
      <c r="H75" s="29" t="n">
        <v>70127.002</v>
      </c>
      <c r="I75" s="28" t="n">
        <v>46095.78125</v>
      </c>
      <c r="J75" s="29" t="n">
        <v>70706.75582</v>
      </c>
      <c r="K75" s="7" t="s">
        <v>71</v>
      </c>
      <c r="L75" s="30" t="n">
        <v>0.002</v>
      </c>
      <c r="M75" s="12" t="n">
        <f aca="false">L75*G75*Settings!$B$5</f>
        <v>12422.02950912</v>
      </c>
      <c r="N75" s="31" t="n">
        <f aca="false">(I75-F75)*24</f>
        <v>5.25</v>
      </c>
      <c r="O75" s="12" t="n">
        <v>22.3595151999984</v>
      </c>
      <c r="P75" s="12" t="n">
        <v>6.88632469270079</v>
      </c>
      <c r="Q75" s="12" t="n">
        <f aca="false">2*Calculator!$C$5*M75</f>
        <v>14.6579948207616</v>
      </c>
      <c r="R75" s="12" t="n">
        <f aca="false">O75-P75-Q75</f>
        <v>0.815195686536002</v>
      </c>
      <c r="S75" s="12" t="n">
        <f aca="false">O75+2*Calculator!$C$6*M75</f>
        <v>27.3283270036464</v>
      </c>
      <c r="T75" s="12" t="n">
        <f aca="false">S75-2*Calculator!$B$6*M75</f>
        <v>22.3595151999984</v>
      </c>
      <c r="U75" s="12" t="n">
        <f aca="false">2*Calculator!$B$5*M75</f>
        <v>14.6579948207616</v>
      </c>
      <c r="V75" s="12" t="n">
        <f aca="false">R75*Calculator!$B$7/Calculator!$C$7</f>
        <v>0.815195686536002</v>
      </c>
      <c r="W75" s="14" t="n">
        <f aca="false">T75-U75-V75</f>
        <v>6.88632469270079</v>
      </c>
      <c r="X75" s="7" t="str">
        <f aca="false">LEFT(A75,7)</f>
        <v>2026-03</v>
      </c>
    </row>
    <row r="76" customFormat="false" ht="15" hidden="false" customHeight="false" outlineLevel="0" collapsed="false">
      <c r="A76" s="7" t="s">
        <v>264</v>
      </c>
      <c r="B76" s="7" t="s">
        <v>207</v>
      </c>
      <c r="C76" s="7" t="s">
        <v>63</v>
      </c>
      <c r="D76" s="7" t="s">
        <v>60</v>
      </c>
      <c r="E76" s="7" t="s">
        <v>66</v>
      </c>
      <c r="F76" s="28" t="n">
        <v>46096.5625</v>
      </c>
      <c r="G76" s="29" t="n">
        <v>71435.08416</v>
      </c>
      <c r="H76" s="29" t="n">
        <v>71078.99865</v>
      </c>
      <c r="I76" s="28" t="n">
        <v>46096.5729166667</v>
      </c>
      <c r="J76" s="29" t="n">
        <v>71540.3676867755</v>
      </c>
      <c r="K76" s="7" t="s">
        <v>69</v>
      </c>
      <c r="L76" s="30" t="n">
        <v>0.003</v>
      </c>
      <c r="M76" s="12" t="n">
        <f aca="false">L76*G76*Settings!$B$5</f>
        <v>18858.86221824</v>
      </c>
      <c r="N76" s="31" t="n">
        <f aca="false">(I76-F76)*24</f>
        <v>0.25</v>
      </c>
      <c r="O76" s="12" t="n">
        <v>32.9372721187848</v>
      </c>
      <c r="P76" s="12" t="n">
        <v>10.6248807568296</v>
      </c>
      <c r="Q76" s="12" t="n">
        <f aca="false">2*Calculator!$C$5*M76</f>
        <v>22.2534574175232</v>
      </c>
      <c r="R76" s="12" t="n">
        <f aca="false">O76-P76-Q76</f>
        <v>0.058933944431999</v>
      </c>
      <c r="S76" s="12" t="n">
        <f aca="false">O76+2*Calculator!$C$6*M76</f>
        <v>40.4808170060808</v>
      </c>
      <c r="T76" s="12" t="n">
        <f aca="false">S76-2*Calculator!$B$6*M76</f>
        <v>32.9372721187848</v>
      </c>
      <c r="U76" s="12" t="n">
        <f aca="false">2*Calculator!$B$5*M76</f>
        <v>22.2534574175232</v>
      </c>
      <c r="V76" s="12" t="n">
        <f aca="false">R76*Calculator!$B$7/Calculator!$C$7</f>
        <v>0.0589339444319989</v>
      </c>
      <c r="W76" s="14" t="n">
        <f aca="false">T76-U76-V76</f>
        <v>10.6248807568296</v>
      </c>
      <c r="X76" s="7" t="str">
        <f aca="false">LEFT(A76,7)</f>
        <v>2026-03</v>
      </c>
    </row>
    <row r="77" customFormat="false" ht="15" hidden="false" customHeight="false" outlineLevel="0" collapsed="false">
      <c r="A77" s="7" t="s">
        <v>265</v>
      </c>
      <c r="B77" s="7" t="s">
        <v>213</v>
      </c>
      <c r="C77" s="7" t="s">
        <v>63</v>
      </c>
      <c r="D77" s="7" t="s">
        <v>60</v>
      </c>
      <c r="E77" s="7" t="s">
        <v>66</v>
      </c>
      <c r="F77" s="28" t="n">
        <v>46097.5625</v>
      </c>
      <c r="G77" s="29" t="n">
        <v>73442.48556</v>
      </c>
      <c r="H77" s="29" t="n">
        <v>73058.9486</v>
      </c>
      <c r="I77" s="28" t="n">
        <v>46097.5625</v>
      </c>
      <c r="J77" s="29" t="n">
        <v>73645.183776848</v>
      </c>
      <c r="K77" s="7" t="s">
        <v>69</v>
      </c>
      <c r="L77" s="30" t="n">
        <v>0.002</v>
      </c>
      <c r="M77" s="12" t="n">
        <f aca="false">L77*G77*Settings!$B$5</f>
        <v>12925.87745856</v>
      </c>
      <c r="N77" s="31" t="n">
        <f aca="false">(I77-F77)*24</f>
        <v>0</v>
      </c>
      <c r="O77" s="12" t="n">
        <v>33.41710645152</v>
      </c>
      <c r="P77" s="12" t="n">
        <v>18.1645710504192</v>
      </c>
      <c r="Q77" s="12" t="n">
        <f aca="false">2*Calculator!$C$5*M77</f>
        <v>15.2525354011008</v>
      </c>
      <c r="R77" s="12" t="n">
        <f aca="false">O77-P77-Q77</f>
        <v>0</v>
      </c>
      <c r="S77" s="12" t="n">
        <f aca="false">O77+2*Calculator!$C$6*M77</f>
        <v>38.587457434944</v>
      </c>
      <c r="T77" s="12" t="n">
        <f aca="false">S77-2*Calculator!$B$6*M77</f>
        <v>33.41710645152</v>
      </c>
      <c r="U77" s="12" t="n">
        <f aca="false">2*Calculator!$B$5*M77</f>
        <v>15.2525354011008</v>
      </c>
      <c r="V77" s="12" t="n">
        <f aca="false">R77*Calculator!$B$7/Calculator!$C$7</f>
        <v>0</v>
      </c>
      <c r="W77" s="14" t="n">
        <f aca="false">T77-U77-V77</f>
        <v>18.1645710504192</v>
      </c>
      <c r="X77" s="7" t="str">
        <f aca="false">LEFT(A77,7)</f>
        <v>2026-03</v>
      </c>
    </row>
    <row r="78" customFormat="false" ht="15" hidden="false" customHeight="false" outlineLevel="0" collapsed="false">
      <c r="A78" s="7" t="s">
        <v>265</v>
      </c>
      <c r="B78" s="7" t="s">
        <v>213</v>
      </c>
      <c r="C78" s="7" t="s">
        <v>64</v>
      </c>
      <c r="D78" s="7" t="s">
        <v>60</v>
      </c>
      <c r="E78" s="7" t="s">
        <v>66</v>
      </c>
      <c r="F78" s="28" t="n">
        <v>46097.8125</v>
      </c>
      <c r="G78" s="29" t="n">
        <v>74089.815</v>
      </c>
      <c r="H78" s="29" t="n">
        <v>73467.9</v>
      </c>
      <c r="I78" s="28" t="n">
        <v>46097.8125</v>
      </c>
      <c r="J78" s="29" t="n">
        <v>74279.66234575</v>
      </c>
      <c r="K78" s="7" t="s">
        <v>69</v>
      </c>
      <c r="L78" s="30" t="n">
        <v>0.001</v>
      </c>
      <c r="M78" s="12" t="n">
        <f aca="false">L78*G78*Settings!$B$5</f>
        <v>6519.90372</v>
      </c>
      <c r="N78" s="31" t="n">
        <f aca="false">(I78-F78)*24</f>
        <v>0</v>
      </c>
      <c r="O78" s="12" t="n">
        <v>16.7065664260007</v>
      </c>
      <c r="P78" s="12" t="n">
        <v>9.01308003640067</v>
      </c>
      <c r="Q78" s="12" t="n">
        <f aca="false">2*Calculator!$C$5*M78</f>
        <v>7.6934863896</v>
      </c>
      <c r="R78" s="12" t="n">
        <f aca="false">O78-P78-Q78</f>
        <v>0</v>
      </c>
      <c r="S78" s="12" t="n">
        <f aca="false">O78+2*Calculator!$C$6*M78</f>
        <v>19.3145279140007</v>
      </c>
      <c r="T78" s="12" t="n">
        <f aca="false">S78-2*Calculator!$B$6*M78</f>
        <v>16.7065664260007</v>
      </c>
      <c r="U78" s="12" t="n">
        <f aca="false">2*Calculator!$B$5*M78</f>
        <v>7.6934863896</v>
      </c>
      <c r="V78" s="12" t="n">
        <f aca="false">R78*Calculator!$B$7/Calculator!$C$7</f>
        <v>0</v>
      </c>
      <c r="W78" s="14" t="n">
        <f aca="false">T78-U78-V78</f>
        <v>9.01308003640067</v>
      </c>
      <c r="X78" s="7" t="str">
        <f aca="false">LEFT(A78,7)</f>
        <v>2026-03</v>
      </c>
    </row>
    <row r="79" customFormat="false" ht="15" hidden="false" customHeight="false" outlineLevel="0" collapsed="false">
      <c r="A79" s="7" t="s">
        <v>266</v>
      </c>
      <c r="B79" s="7" t="s">
        <v>201</v>
      </c>
      <c r="C79" s="7" t="s">
        <v>63</v>
      </c>
      <c r="D79" s="7" t="s">
        <v>60</v>
      </c>
      <c r="E79" s="7" t="s">
        <v>67</v>
      </c>
      <c r="F79" s="28" t="n">
        <v>46100.5729166667</v>
      </c>
      <c r="G79" s="29" t="n">
        <v>70117.27374</v>
      </c>
      <c r="H79" s="29" t="n">
        <v>70515.79955</v>
      </c>
      <c r="I79" s="28" t="n">
        <v>46100.5833333333</v>
      </c>
      <c r="J79" s="29" t="n">
        <v>69973.9234387905</v>
      </c>
      <c r="K79" s="7" t="s">
        <v>69</v>
      </c>
      <c r="L79" s="30" t="n">
        <v>0.002</v>
      </c>
      <c r="M79" s="12" t="n">
        <f aca="false">L79*G79*Settings!$B$5</f>
        <v>12340.64017824</v>
      </c>
      <c r="N79" s="31" t="n">
        <f aca="false">(I79-F79)*24</f>
        <v>0.250000000465556</v>
      </c>
      <c r="O79" s="12" t="n">
        <v>28.9194051557407</v>
      </c>
      <c r="P79" s="12" t="n">
        <v>14.3188852448605</v>
      </c>
      <c r="Q79" s="12" t="n">
        <f aca="false">2*Calculator!$C$5*M79</f>
        <v>14.5619554103232</v>
      </c>
      <c r="R79" s="12" t="n">
        <f aca="false">O79-P79-Q79</f>
        <v>0.0385645005569977</v>
      </c>
      <c r="S79" s="12" t="n">
        <f aca="false">O79+2*Calculator!$C$6*M79</f>
        <v>33.8556612270367</v>
      </c>
      <c r="T79" s="12" t="n">
        <f aca="false">S79-2*Calculator!$B$6*M79</f>
        <v>28.9194051557407</v>
      </c>
      <c r="U79" s="12" t="n">
        <f aca="false">2*Calculator!$B$5*M79</f>
        <v>14.5619554103232</v>
      </c>
      <c r="V79" s="12" t="n">
        <f aca="false">R79*Calculator!$B$7/Calculator!$C$7</f>
        <v>0.0385645005569977</v>
      </c>
      <c r="W79" s="14" t="n">
        <f aca="false">T79-U79-V79</f>
        <v>14.3188852448605</v>
      </c>
      <c r="X79" s="7" t="str">
        <f aca="false">LEFT(A79,7)</f>
        <v>2026-03</v>
      </c>
    </row>
    <row r="80" customFormat="false" ht="15" hidden="false" customHeight="false" outlineLevel="0" collapsed="false">
      <c r="A80" s="7" t="s">
        <v>267</v>
      </c>
      <c r="B80" s="7" t="s">
        <v>203</v>
      </c>
      <c r="C80" s="7" t="s">
        <v>63</v>
      </c>
      <c r="D80" s="7" t="s">
        <v>60</v>
      </c>
      <c r="E80" s="7" t="s">
        <v>67</v>
      </c>
      <c r="F80" s="28" t="n">
        <v>46101.5625</v>
      </c>
      <c r="G80" s="29" t="n">
        <v>70797.8376</v>
      </c>
      <c r="H80" s="29" t="n">
        <v>71141.7035</v>
      </c>
      <c r="I80" s="28" t="n">
        <v>46101.5625</v>
      </c>
      <c r="J80" s="29" t="n">
        <v>71155.9318407</v>
      </c>
      <c r="K80" s="7" t="s">
        <v>70</v>
      </c>
      <c r="L80" s="30" t="n">
        <v>0.003</v>
      </c>
      <c r="M80" s="12" t="n">
        <f aca="false">L80*G80*Settings!$B$5</f>
        <v>18690.6291264</v>
      </c>
      <c r="N80" s="31" t="n">
        <f aca="false">(I80-F80)*24</f>
        <v>0</v>
      </c>
      <c r="O80" s="12" t="n">
        <v>-94.5368795447991</v>
      </c>
      <c r="P80" s="12" t="n">
        <v>-116.591821913951</v>
      </c>
      <c r="Q80" s="12" t="n">
        <f aca="false">2*Calculator!$C$5*M80</f>
        <v>22.054942369152</v>
      </c>
      <c r="R80" s="12" t="n">
        <f aca="false">O80-P80-Q80</f>
        <v>0</v>
      </c>
      <c r="S80" s="12" t="n">
        <f aca="false">O80+2*Calculator!$C$6*M80</f>
        <v>-87.0606278942391</v>
      </c>
      <c r="T80" s="12" t="n">
        <f aca="false">S80-2*Calculator!$B$6*M80</f>
        <v>-94.5368795447991</v>
      </c>
      <c r="U80" s="12" t="n">
        <f aca="false">2*Calculator!$B$5*M80</f>
        <v>22.054942369152</v>
      </c>
      <c r="V80" s="12" t="n">
        <f aca="false">R80*Calculator!$B$7/Calculator!$C$7</f>
        <v>0</v>
      </c>
      <c r="W80" s="14" t="n">
        <f aca="false">T80-U80-V80</f>
        <v>-116.591821913951</v>
      </c>
      <c r="X80" s="7" t="str">
        <f aca="false">LEFT(A80,7)</f>
        <v>2026-03</v>
      </c>
    </row>
    <row r="81" customFormat="false" ht="15" hidden="false" customHeight="false" outlineLevel="0" collapsed="false">
      <c r="A81" s="7" t="s">
        <v>268</v>
      </c>
      <c r="B81" s="7" t="s">
        <v>205</v>
      </c>
      <c r="C81" s="7" t="s">
        <v>63</v>
      </c>
      <c r="D81" s="7" t="s">
        <v>59</v>
      </c>
      <c r="E81" s="7" t="s">
        <v>67</v>
      </c>
      <c r="F81" s="28" t="n">
        <v>46102.5625</v>
      </c>
      <c r="G81" s="29" t="n">
        <v>70673.26252</v>
      </c>
      <c r="H81" s="29" t="n">
        <v>70823.17565</v>
      </c>
      <c r="I81" s="28" t="n">
        <v>46102.5833333333</v>
      </c>
      <c r="J81" s="29" t="n">
        <v>70522.5799781565</v>
      </c>
      <c r="K81" s="7" t="s">
        <v>69</v>
      </c>
      <c r="L81" s="30" t="n">
        <v>0.007</v>
      </c>
      <c r="M81" s="12" t="n">
        <f aca="false">L81*G81*Settings!$B$5</f>
        <v>43534.72971232</v>
      </c>
      <c r="N81" s="31" t="n">
        <f aca="false">(I81-F81)*24</f>
        <v>0.5</v>
      </c>
      <c r="O81" s="12" t="n">
        <v>69.1011973344848</v>
      </c>
      <c r="P81" s="12" t="n">
        <v>17.5164296548242</v>
      </c>
      <c r="Q81" s="12" t="n">
        <f aca="false">2*Calculator!$C$5*M81</f>
        <v>51.3709810605376</v>
      </c>
      <c r="R81" s="12" t="n">
        <f aca="false">O81-P81-Q81</f>
        <v>0.213786619123013</v>
      </c>
      <c r="S81" s="12" t="n">
        <f aca="false">O81+2*Calculator!$C$6*M81</f>
        <v>86.5150892194128</v>
      </c>
      <c r="T81" s="12" t="n">
        <f aca="false">S81-2*Calculator!$B$6*M81</f>
        <v>69.1011973344848</v>
      </c>
      <c r="U81" s="12" t="n">
        <f aca="false">2*Calculator!$B$5*M81</f>
        <v>51.3709810605376</v>
      </c>
      <c r="V81" s="12" t="n">
        <f aca="false">R81*Calculator!$B$7/Calculator!$C$7</f>
        <v>0.213786619123013</v>
      </c>
      <c r="W81" s="14" t="n">
        <f aca="false">T81-U81-V81</f>
        <v>17.5164296548242</v>
      </c>
      <c r="X81" s="7" t="str">
        <f aca="false">LEFT(A81,7)</f>
        <v>2026-03</v>
      </c>
    </row>
    <row r="82" customFormat="false" ht="15" hidden="false" customHeight="false" outlineLevel="0" collapsed="false">
      <c r="A82" s="7" t="s">
        <v>268</v>
      </c>
      <c r="B82" s="7" t="s">
        <v>205</v>
      </c>
      <c r="C82" s="7" t="s">
        <v>64</v>
      </c>
      <c r="D82" s="7" t="s">
        <v>60</v>
      </c>
      <c r="E82" s="7" t="s">
        <v>67</v>
      </c>
      <c r="F82" s="28" t="n">
        <v>46102.8125</v>
      </c>
      <c r="G82" s="29" t="n">
        <v>70686.15994</v>
      </c>
      <c r="H82" s="29" t="n">
        <v>71080.0272</v>
      </c>
      <c r="I82" s="28" t="n">
        <v>46102.8645833333</v>
      </c>
      <c r="J82" s="29" t="n">
        <v>70532.570508363</v>
      </c>
      <c r="K82" s="7" t="s">
        <v>69</v>
      </c>
      <c r="L82" s="30" t="n">
        <v>0.002</v>
      </c>
      <c r="M82" s="12" t="n">
        <f aca="false">L82*G82*Settings!$B$5</f>
        <v>12440.76414944</v>
      </c>
      <c r="N82" s="31" t="n">
        <f aca="false">(I82-F82)*24</f>
        <v>1.25</v>
      </c>
      <c r="O82" s="12" t="n">
        <v>29.6054190410005</v>
      </c>
      <c r="P82" s="12" t="n">
        <v>14.7309304048263</v>
      </c>
      <c r="Q82" s="12" t="n">
        <f aca="false">2*Calculator!$C$5*M82</f>
        <v>14.6801016963392</v>
      </c>
      <c r="R82" s="12" t="n">
        <f aca="false">O82-P82-Q82</f>
        <v>0.194386939835001</v>
      </c>
      <c r="S82" s="12" t="n">
        <f aca="false">O82+2*Calculator!$C$6*M82</f>
        <v>34.5817247007765</v>
      </c>
      <c r="T82" s="12" t="n">
        <f aca="false">S82-2*Calculator!$B$6*M82</f>
        <v>29.6054190410005</v>
      </c>
      <c r="U82" s="12" t="n">
        <f aca="false">2*Calculator!$B$5*M82</f>
        <v>14.6801016963392</v>
      </c>
      <c r="V82" s="12" t="n">
        <f aca="false">R82*Calculator!$B$7/Calculator!$C$7</f>
        <v>0.194386939835001</v>
      </c>
      <c r="W82" s="14" t="n">
        <f aca="false">T82-U82-V82</f>
        <v>14.7309304048263</v>
      </c>
      <c r="X82" s="7" t="str">
        <f aca="false">LEFT(A82,7)</f>
        <v>2026-03</v>
      </c>
    </row>
    <row r="83" customFormat="false" ht="15" hidden="false" customHeight="false" outlineLevel="0" collapsed="false">
      <c r="A83" s="7" t="s">
        <v>269</v>
      </c>
      <c r="B83" s="7" t="s">
        <v>207</v>
      </c>
      <c r="C83" s="7" t="s">
        <v>63</v>
      </c>
      <c r="D83" s="7" t="s">
        <v>60</v>
      </c>
      <c r="E83" s="7" t="s">
        <v>66</v>
      </c>
      <c r="F83" s="28" t="n">
        <v>46103.5729166667</v>
      </c>
      <c r="G83" s="29" t="n">
        <v>68963.68998</v>
      </c>
      <c r="H83" s="29" t="n">
        <v>68562.37465</v>
      </c>
      <c r="I83" s="28" t="n">
        <v>46103.5729166667</v>
      </c>
      <c r="J83" s="29" t="n">
        <v>68548.66217507</v>
      </c>
      <c r="K83" s="7" t="s">
        <v>70</v>
      </c>
      <c r="L83" s="30" t="n">
        <v>0.002</v>
      </c>
      <c r="M83" s="12" t="n">
        <f aca="false">L83*G83*Settings!$B$5</f>
        <v>12137.60943648</v>
      </c>
      <c r="N83" s="31" t="n">
        <f aca="false">(I83-F83)*24</f>
        <v>0</v>
      </c>
      <c r="O83" s="12" t="n">
        <v>-73.0448936676767</v>
      </c>
      <c r="P83" s="12" t="n">
        <v>-87.3672728027231</v>
      </c>
      <c r="Q83" s="12" t="n">
        <f aca="false">2*Calculator!$C$5*M83</f>
        <v>14.3223791350464</v>
      </c>
      <c r="R83" s="12" t="n">
        <f aca="false">O83-P83-Q83</f>
        <v>0</v>
      </c>
      <c r="S83" s="12" t="n">
        <f aca="false">O83+2*Calculator!$C$6*M83</f>
        <v>-68.1898498930847</v>
      </c>
      <c r="T83" s="12" t="n">
        <f aca="false">S83-2*Calculator!$B$6*M83</f>
        <v>-73.0448936676767</v>
      </c>
      <c r="U83" s="12" t="n">
        <f aca="false">2*Calculator!$B$5*M83</f>
        <v>14.3223791350464</v>
      </c>
      <c r="V83" s="12" t="n">
        <f aca="false">R83*Calculator!$B$7/Calculator!$C$7</f>
        <v>0</v>
      </c>
      <c r="W83" s="14" t="n">
        <f aca="false">T83-U83-V83</f>
        <v>-87.3672728027231</v>
      </c>
      <c r="X83" s="7" t="str">
        <f aca="false">LEFT(A83,7)</f>
        <v>2026-03</v>
      </c>
    </row>
    <row r="84" customFormat="false" ht="15" hidden="false" customHeight="false" outlineLevel="0" collapsed="false">
      <c r="A84" s="7" t="s">
        <v>269</v>
      </c>
      <c r="B84" s="7" t="s">
        <v>207</v>
      </c>
      <c r="C84" s="7" t="s">
        <v>64</v>
      </c>
      <c r="D84" s="7" t="s">
        <v>60</v>
      </c>
      <c r="E84" s="7" t="s">
        <v>67</v>
      </c>
      <c r="F84" s="28" t="n">
        <v>46103.84375</v>
      </c>
      <c r="G84" s="29" t="n">
        <v>68786.83988</v>
      </c>
      <c r="H84" s="29" t="n">
        <v>69124.2657</v>
      </c>
      <c r="I84" s="28" t="n">
        <v>46103.8541666667</v>
      </c>
      <c r="J84" s="29" t="n">
        <v>68698.793466291</v>
      </c>
      <c r="K84" s="7" t="s">
        <v>69</v>
      </c>
      <c r="L84" s="30" t="n">
        <v>0.003</v>
      </c>
      <c r="M84" s="12" t="n">
        <f aca="false">L84*G84*Settings!$B$5</f>
        <v>18159.72572832</v>
      </c>
      <c r="N84" s="31" t="n">
        <f aca="false">(I84-F84)*24</f>
        <v>0.25</v>
      </c>
      <c r="O84" s="12" t="n">
        <v>29.1352258581158</v>
      </c>
      <c r="P84" s="12" t="n">
        <v>7.66891673676422</v>
      </c>
      <c r="Q84" s="12" t="n">
        <f aca="false">2*Calculator!$C$5*M84</f>
        <v>21.4284763594176</v>
      </c>
      <c r="R84" s="12" t="n">
        <f aca="false">O84-P84-Q84</f>
        <v>0.037832761934002</v>
      </c>
      <c r="S84" s="12" t="n">
        <f aca="false">O84+2*Calculator!$C$6*M84</f>
        <v>36.3991161494438</v>
      </c>
      <c r="T84" s="12" t="n">
        <f aca="false">S84-2*Calculator!$B$6*M84</f>
        <v>29.1352258581158</v>
      </c>
      <c r="U84" s="12" t="n">
        <f aca="false">2*Calculator!$B$5*M84</f>
        <v>21.4284763594176</v>
      </c>
      <c r="V84" s="12" t="n">
        <f aca="false">R84*Calculator!$B$7/Calculator!$C$7</f>
        <v>0.037832761934002</v>
      </c>
      <c r="W84" s="14" t="n">
        <f aca="false">T84-U84-V84</f>
        <v>7.66891673676422</v>
      </c>
      <c r="X84" s="7" t="str">
        <f aca="false">LEFT(A84,7)</f>
        <v>2026-03</v>
      </c>
    </row>
    <row r="85" customFormat="false" ht="15" hidden="false" customHeight="false" outlineLevel="0" collapsed="false">
      <c r="A85" s="7" t="s">
        <v>270</v>
      </c>
      <c r="B85" s="7" t="s">
        <v>213</v>
      </c>
      <c r="C85" s="7" t="s">
        <v>63</v>
      </c>
      <c r="D85" s="7" t="s">
        <v>60</v>
      </c>
      <c r="E85" s="7" t="s">
        <v>67</v>
      </c>
      <c r="F85" s="28" t="n">
        <v>46104.5625</v>
      </c>
      <c r="G85" s="29" t="n">
        <v>68292.23882</v>
      </c>
      <c r="H85" s="29" t="n">
        <v>68615.08465</v>
      </c>
      <c r="I85" s="28" t="n">
        <v>46104.5625</v>
      </c>
      <c r="J85" s="29" t="n">
        <v>68628.80766693</v>
      </c>
      <c r="K85" s="7" t="s">
        <v>70</v>
      </c>
      <c r="L85" s="30" t="n">
        <v>0.003</v>
      </c>
      <c r="M85" s="12" t="n">
        <f aca="false">L85*G85*Settings!$B$5</f>
        <v>18029.15104848</v>
      </c>
      <c r="N85" s="31" t="n">
        <f aca="false">(I85-F85)*24</f>
        <v>0</v>
      </c>
      <c r="O85" s="12" t="n">
        <v>-88.8541755895182</v>
      </c>
      <c r="P85" s="12" t="n">
        <v>-110.128573826725</v>
      </c>
      <c r="Q85" s="12" t="n">
        <f aca="false">2*Calculator!$C$5*M85</f>
        <v>21.2743982372064</v>
      </c>
      <c r="R85" s="12" t="n">
        <f aca="false">O85-P85-Q85</f>
        <v>0</v>
      </c>
      <c r="S85" s="12" t="n">
        <f aca="false">O85+2*Calculator!$C$6*M85</f>
        <v>-81.6425151701262</v>
      </c>
      <c r="T85" s="12" t="n">
        <f aca="false">S85-2*Calculator!$B$6*M85</f>
        <v>-88.8541755895182</v>
      </c>
      <c r="U85" s="12" t="n">
        <f aca="false">2*Calculator!$B$5*M85</f>
        <v>21.2743982372064</v>
      </c>
      <c r="V85" s="12" t="n">
        <f aca="false">R85*Calculator!$B$7/Calculator!$C$7</f>
        <v>0</v>
      </c>
      <c r="W85" s="14" t="n">
        <f aca="false">T85-U85-V85</f>
        <v>-110.128573826725</v>
      </c>
      <c r="X85" s="7" t="str">
        <f aca="false">LEFT(A85,7)</f>
        <v>2026-03</v>
      </c>
    </row>
    <row r="86" customFormat="false" ht="15" hidden="false" customHeight="false" outlineLevel="0" collapsed="false">
      <c r="A86" s="7" t="s">
        <v>271</v>
      </c>
      <c r="B86" s="7" t="s">
        <v>209</v>
      </c>
      <c r="C86" s="7" t="s">
        <v>63</v>
      </c>
      <c r="D86" s="7" t="s">
        <v>59</v>
      </c>
      <c r="E86" s="7" t="s">
        <v>66</v>
      </c>
      <c r="F86" s="28" t="n">
        <v>46105.5625</v>
      </c>
      <c r="G86" s="29" t="n">
        <v>71269.45104</v>
      </c>
      <c r="H86" s="29" t="n">
        <v>70824.4038</v>
      </c>
      <c r="I86" s="28" t="n">
        <v>46105.5729166667</v>
      </c>
      <c r="J86" s="29" t="n">
        <v>70810.23891924</v>
      </c>
      <c r="K86" s="7" t="s">
        <v>70</v>
      </c>
      <c r="L86" s="30" t="n">
        <v>0.002</v>
      </c>
      <c r="M86" s="12" t="n">
        <f aca="false">L86*G86*Settings!$B$5</f>
        <v>12543.42338304</v>
      </c>
      <c r="N86" s="31" t="n">
        <f aca="false">(I86-F86)*24</f>
        <v>0.25</v>
      </c>
      <c r="O86" s="12" t="n">
        <v>-80.8213332537599</v>
      </c>
      <c r="P86" s="12" t="n">
        <v>-95.6617710438191</v>
      </c>
      <c r="Q86" s="12" t="n">
        <f aca="false">2*Calculator!$C$5*M86</f>
        <v>14.8012395919872</v>
      </c>
      <c r="R86" s="12" t="n">
        <f aca="false">O86-P86-Q86</f>
        <v>0.0391981980719827</v>
      </c>
      <c r="S86" s="12" t="n">
        <f aca="false">O86+2*Calculator!$C$6*M86</f>
        <v>-75.8039639005439</v>
      </c>
      <c r="T86" s="12" t="n">
        <f aca="false">S86-2*Calculator!$B$6*M86</f>
        <v>-80.8213332537599</v>
      </c>
      <c r="U86" s="12" t="n">
        <f aca="false">2*Calculator!$B$5*M86</f>
        <v>14.8012395919872</v>
      </c>
      <c r="V86" s="12" t="n">
        <f aca="false">R86*Calculator!$B$7/Calculator!$C$7</f>
        <v>0.0391981980719827</v>
      </c>
      <c r="W86" s="14" t="n">
        <f aca="false">T86-U86-V86</f>
        <v>-95.6617710438191</v>
      </c>
      <c r="X86" s="7" t="str">
        <f aca="false">LEFT(A86,7)</f>
        <v>2026-03</v>
      </c>
    </row>
    <row r="87" customFormat="false" ht="15" hidden="false" customHeight="false" outlineLevel="0" collapsed="false">
      <c r="A87" s="7" t="s">
        <v>272</v>
      </c>
      <c r="B87" s="7" t="s">
        <v>201</v>
      </c>
      <c r="C87" s="7" t="s">
        <v>63</v>
      </c>
      <c r="D87" s="7" t="s">
        <v>60</v>
      </c>
      <c r="E87" s="7" t="s">
        <v>67</v>
      </c>
      <c r="F87" s="28" t="n">
        <v>46107.5625</v>
      </c>
      <c r="G87" s="29" t="n">
        <v>70039.78924</v>
      </c>
      <c r="H87" s="29" t="n">
        <v>70394.45595</v>
      </c>
      <c r="I87" s="28" t="n">
        <v>46107.5729166667</v>
      </c>
      <c r="J87" s="29" t="n">
        <v>69958.6556108355</v>
      </c>
      <c r="K87" s="7" t="s">
        <v>69</v>
      </c>
      <c r="L87" s="30" t="n">
        <v>0.003</v>
      </c>
      <c r="M87" s="12" t="n">
        <f aca="false">L87*G87*Settings!$B$5</f>
        <v>18490.50435936</v>
      </c>
      <c r="N87" s="31" t="n">
        <f aca="false">(I87-F87)*24</f>
        <v>0.25</v>
      </c>
      <c r="O87" s="12" t="n">
        <v>28.6552747493751</v>
      </c>
      <c r="P87" s="12" t="n">
        <v>6.79795772124827</v>
      </c>
      <c r="Q87" s="12" t="n">
        <f aca="false">2*Calculator!$C$5*M87</f>
        <v>21.8187951440448</v>
      </c>
      <c r="R87" s="12" t="n">
        <f aca="false">O87-P87-Q87</f>
        <v>0.0385218840819945</v>
      </c>
      <c r="S87" s="12" t="n">
        <f aca="false">O87+2*Calculator!$C$6*M87</f>
        <v>36.0514764931191</v>
      </c>
      <c r="T87" s="12" t="n">
        <f aca="false">S87-2*Calculator!$B$6*M87</f>
        <v>28.6552747493751</v>
      </c>
      <c r="U87" s="12" t="n">
        <f aca="false">2*Calculator!$B$5*M87</f>
        <v>21.8187951440448</v>
      </c>
      <c r="V87" s="12" t="n">
        <f aca="false">R87*Calculator!$B$7/Calculator!$C$7</f>
        <v>0.0385218840819945</v>
      </c>
      <c r="W87" s="14" t="n">
        <f aca="false">T87-U87-V87</f>
        <v>6.79795772124827</v>
      </c>
      <c r="X87" s="7" t="str">
        <f aca="false">LEFT(A87,7)</f>
        <v>2026-03</v>
      </c>
    </row>
    <row r="88" customFormat="false" ht="15" hidden="false" customHeight="false" outlineLevel="0" collapsed="false">
      <c r="A88" s="7" t="s">
        <v>272</v>
      </c>
      <c r="B88" s="7" t="s">
        <v>201</v>
      </c>
      <c r="C88" s="7" t="s">
        <v>64</v>
      </c>
      <c r="D88" s="7" t="s">
        <v>59</v>
      </c>
      <c r="E88" s="7" t="s">
        <v>66</v>
      </c>
      <c r="F88" s="28" t="n">
        <v>46107.8125</v>
      </c>
      <c r="G88" s="29" t="n">
        <v>69629.72316</v>
      </c>
      <c r="H88" s="29" t="n">
        <v>69414.7215</v>
      </c>
      <c r="I88" s="28" t="n">
        <v>46107.8125</v>
      </c>
      <c r="J88" s="29" t="n">
        <v>69732.300335083</v>
      </c>
      <c r="K88" s="7" t="s">
        <v>69</v>
      </c>
      <c r="L88" s="30" t="n">
        <v>0.005</v>
      </c>
      <c r="M88" s="12" t="n">
        <f aca="false">L88*G88*Settings!$B$5</f>
        <v>30637.0781904</v>
      </c>
      <c r="N88" s="31" t="n">
        <f aca="false">(I88-F88)*24</f>
        <v>0</v>
      </c>
      <c r="O88" s="12" t="n">
        <v>43.5457700174612</v>
      </c>
      <c r="P88" s="12" t="n">
        <v>7.39401775278915</v>
      </c>
      <c r="Q88" s="12" t="n">
        <f aca="false">2*Calculator!$C$5*M88</f>
        <v>36.151752264672</v>
      </c>
      <c r="R88" s="12" t="n">
        <f aca="false">O88-P88-Q88</f>
        <v>0</v>
      </c>
      <c r="S88" s="12" t="n">
        <f aca="false">O88+2*Calculator!$C$6*M88</f>
        <v>55.8006012936212</v>
      </c>
      <c r="T88" s="12" t="n">
        <f aca="false">S88-2*Calculator!$B$6*M88</f>
        <v>43.5457700174612</v>
      </c>
      <c r="U88" s="12" t="n">
        <f aca="false">2*Calculator!$B$5*M88</f>
        <v>36.151752264672</v>
      </c>
      <c r="V88" s="12" t="n">
        <f aca="false">R88*Calculator!$B$7/Calculator!$C$7</f>
        <v>0</v>
      </c>
      <c r="W88" s="14" t="n">
        <f aca="false">T88-U88-V88</f>
        <v>7.39401775278914</v>
      </c>
      <c r="X88" s="7" t="str">
        <f aca="false">LEFT(A88,7)</f>
        <v>2026-03</v>
      </c>
    </row>
    <row r="89" customFormat="false" ht="15" hidden="false" customHeight="false" outlineLevel="0" collapsed="false">
      <c r="A89" s="7" t="s">
        <v>273</v>
      </c>
      <c r="B89" s="7" t="s">
        <v>205</v>
      </c>
      <c r="C89" s="7" t="s">
        <v>63</v>
      </c>
      <c r="D89" s="7" t="s">
        <v>59</v>
      </c>
      <c r="E89" s="7" t="s">
        <v>66</v>
      </c>
      <c r="F89" s="28" t="n">
        <v>46109.5625</v>
      </c>
      <c r="G89" s="29" t="n">
        <v>66534.20418</v>
      </c>
      <c r="H89" s="29" t="n">
        <v>66331.7529</v>
      </c>
      <c r="I89" s="28" t="n">
        <v>46109.6041666667</v>
      </c>
      <c r="J89" s="29" t="n">
        <v>66318.48654942</v>
      </c>
      <c r="K89" s="7" t="s">
        <v>70</v>
      </c>
      <c r="L89" s="30" t="n">
        <v>0.005</v>
      </c>
      <c r="M89" s="12" t="n">
        <f aca="false">L89*G89*Settings!$B$5</f>
        <v>29275.0498392</v>
      </c>
      <c r="N89" s="31" t="n">
        <f aca="false">(I89-F89)*24</f>
        <v>1</v>
      </c>
      <c r="O89" s="12" t="n">
        <v>-94.9157574551978</v>
      </c>
      <c r="P89" s="12" t="n">
        <v>-129.826254388444</v>
      </c>
      <c r="Q89" s="12" t="n">
        <f aca="false">2*Calculator!$C$5*M89</f>
        <v>34.544558810256</v>
      </c>
      <c r="R89" s="12" t="n">
        <f aca="false">O89-P89-Q89</f>
        <v>0.365938122989931</v>
      </c>
      <c r="S89" s="12" t="n">
        <f aca="false">O89+2*Calculator!$C$6*M89</f>
        <v>-83.2057375195178</v>
      </c>
      <c r="T89" s="12" t="n">
        <f aca="false">S89-2*Calculator!$B$6*M89</f>
        <v>-94.9157574551978</v>
      </c>
      <c r="U89" s="12" t="n">
        <f aca="false">2*Calculator!$B$5*M89</f>
        <v>34.544558810256</v>
      </c>
      <c r="V89" s="12" t="n">
        <f aca="false">R89*Calculator!$B$7/Calculator!$C$7</f>
        <v>0.365938122989931</v>
      </c>
      <c r="W89" s="14" t="n">
        <f aca="false">T89-U89-V89</f>
        <v>-129.826254388444</v>
      </c>
      <c r="X89" s="7" t="str">
        <f aca="false">LEFT(A89,7)</f>
        <v>2026-03</v>
      </c>
    </row>
    <row r="90" customFormat="false" ht="15" hidden="false" customHeight="false" outlineLevel="0" collapsed="false">
      <c r="A90" s="7" t="s">
        <v>274</v>
      </c>
      <c r="B90" s="7" t="s">
        <v>207</v>
      </c>
      <c r="C90" s="7" t="s">
        <v>63</v>
      </c>
      <c r="D90" s="7" t="s">
        <v>60</v>
      </c>
      <c r="E90" s="7" t="s">
        <v>67</v>
      </c>
      <c r="F90" s="28" t="n">
        <v>46110.5625</v>
      </c>
      <c r="G90" s="29" t="n">
        <v>66619.07352</v>
      </c>
      <c r="H90" s="29" t="n">
        <v>66985.18295</v>
      </c>
      <c r="I90" s="28" t="n">
        <v>46110.6666666667</v>
      </c>
      <c r="J90" s="29" t="n">
        <v>66505.8258629715</v>
      </c>
      <c r="K90" s="7" t="s">
        <v>69</v>
      </c>
      <c r="L90" s="30" t="n">
        <v>0.003</v>
      </c>
      <c r="M90" s="12" t="n">
        <f aca="false">L90*G90*Settings!$B$5</f>
        <v>17587.43540928</v>
      </c>
      <c r="N90" s="31" t="n">
        <f aca="false">(I90-F90)*24</f>
        <v>2.5</v>
      </c>
      <c r="O90" s="12" t="n">
        <v>34.8711286260479</v>
      </c>
      <c r="P90" s="12" t="n">
        <v>13.5866677317755</v>
      </c>
      <c r="Q90" s="12" t="n">
        <f aca="false">2*Calculator!$C$5*M90</f>
        <v>20.7531737829504</v>
      </c>
      <c r="R90" s="12" t="n">
        <f aca="false">O90-P90-Q90</f>
        <v>0.531287111322008</v>
      </c>
      <c r="S90" s="12" t="n">
        <f aca="false">O90+2*Calculator!$C$6*M90</f>
        <v>41.9061027897599</v>
      </c>
      <c r="T90" s="12" t="n">
        <f aca="false">S90-2*Calculator!$B$6*M90</f>
        <v>34.8711286260479</v>
      </c>
      <c r="U90" s="12" t="n">
        <f aca="false">2*Calculator!$B$5*M90</f>
        <v>20.7531737829504</v>
      </c>
      <c r="V90" s="12" t="n">
        <f aca="false">R90*Calculator!$B$7/Calculator!$C$7</f>
        <v>0.531287111322008</v>
      </c>
      <c r="W90" s="14" t="n">
        <f aca="false">T90-U90-V90</f>
        <v>13.5866677317755</v>
      </c>
      <c r="X90" s="7" t="str">
        <f aca="false">LEFT(A90,7)</f>
        <v>2026-03</v>
      </c>
    </row>
    <row r="91" customFormat="false" ht="15" hidden="false" customHeight="false" outlineLevel="0" collapsed="false">
      <c r="A91" s="7" t="s">
        <v>275</v>
      </c>
      <c r="B91" s="7" t="s">
        <v>213</v>
      </c>
      <c r="C91" s="7" t="s">
        <v>63</v>
      </c>
      <c r="D91" s="7" t="s">
        <v>59</v>
      </c>
      <c r="E91" s="7" t="s">
        <v>66</v>
      </c>
      <c r="F91" s="28" t="n">
        <v>46111.5625</v>
      </c>
      <c r="G91" s="29" t="n">
        <v>67609.41918</v>
      </c>
      <c r="H91" s="29" t="n">
        <v>67298.80015</v>
      </c>
      <c r="I91" s="28" t="n">
        <v>46111.5729166667</v>
      </c>
      <c r="J91" s="29" t="n">
        <v>67797.2830734515</v>
      </c>
      <c r="K91" s="7" t="s">
        <v>69</v>
      </c>
      <c r="L91" s="30" t="n">
        <v>0.003</v>
      </c>
      <c r="M91" s="12" t="n">
        <f aca="false">L91*G91*Settings!$B$5</f>
        <v>17848.88666352</v>
      </c>
      <c r="N91" s="31" t="n">
        <f aca="false">(I91-F91)*24</f>
        <v>0.25</v>
      </c>
      <c r="O91" s="12" t="n">
        <v>45.5386233424334</v>
      </c>
      <c r="P91" s="12" t="n">
        <v>24.4397518989308</v>
      </c>
      <c r="Q91" s="12" t="n">
        <f aca="false">2*Calculator!$C$5*M91</f>
        <v>21.0616862629536</v>
      </c>
      <c r="R91" s="12" t="n">
        <f aca="false">O91-P91-Q91</f>
        <v>0.0371851805490024</v>
      </c>
      <c r="S91" s="12" t="n">
        <f aca="false">O91+2*Calculator!$C$6*M91</f>
        <v>52.6781780078414</v>
      </c>
      <c r="T91" s="12" t="n">
        <f aca="false">S91-2*Calculator!$B$6*M91</f>
        <v>45.5386233424334</v>
      </c>
      <c r="U91" s="12" t="n">
        <f aca="false">2*Calculator!$B$5*M91</f>
        <v>21.0616862629536</v>
      </c>
      <c r="V91" s="12" t="n">
        <f aca="false">R91*Calculator!$B$7/Calculator!$C$7</f>
        <v>0.0371851805490024</v>
      </c>
      <c r="W91" s="14" t="n">
        <f aca="false">T91-U91-V91</f>
        <v>24.4397518989308</v>
      </c>
      <c r="X91" s="7" t="str">
        <f aca="false">LEFT(A91,7)</f>
        <v>2026-03</v>
      </c>
    </row>
    <row r="92" customFormat="false" ht="15" hidden="false" customHeight="false" outlineLevel="0" collapsed="false">
      <c r="A92" s="7" t="s">
        <v>276</v>
      </c>
      <c r="B92" s="7" t="s">
        <v>209</v>
      </c>
      <c r="C92" s="7" t="s">
        <v>63</v>
      </c>
      <c r="D92" s="7" t="s">
        <v>60</v>
      </c>
      <c r="E92" s="7" t="s">
        <v>67</v>
      </c>
      <c r="F92" s="28" t="n">
        <v>46112.5729166667</v>
      </c>
      <c r="G92" s="29" t="n">
        <v>67310.43522</v>
      </c>
      <c r="H92" s="29" t="n">
        <v>67653.075</v>
      </c>
      <c r="I92" s="28" t="n">
        <v>46112.59375</v>
      </c>
      <c r="J92" s="29" t="n">
        <v>66876.032476989</v>
      </c>
      <c r="K92" s="7" t="s">
        <v>69</v>
      </c>
      <c r="L92" s="30" t="n">
        <v>0.003</v>
      </c>
      <c r="M92" s="12" t="n">
        <f aca="false">L92*G92*Settings!$B$5</f>
        <v>17769.95489808</v>
      </c>
      <c r="N92" s="31" t="n">
        <f aca="false">(I92-F92)*24</f>
        <v>0.5</v>
      </c>
      <c r="O92" s="12" t="n">
        <v>90.3493846601306</v>
      </c>
      <c r="P92" s="12" t="n">
        <v>69.2882860319687</v>
      </c>
      <c r="Q92" s="12" t="n">
        <f aca="false">2*Calculator!$C$5*M92</f>
        <v>20.9685467797344</v>
      </c>
      <c r="R92" s="12" t="n">
        <f aca="false">O92-P92-Q92</f>
        <v>0.0925518484274868</v>
      </c>
      <c r="S92" s="12" t="n">
        <f aca="false">O92+2*Calculator!$C$6*M92</f>
        <v>97.4573666193626</v>
      </c>
      <c r="T92" s="12" t="n">
        <f aca="false">S92-2*Calculator!$B$6*M92</f>
        <v>90.3493846601306</v>
      </c>
      <c r="U92" s="12" t="n">
        <f aca="false">2*Calculator!$B$5*M92</f>
        <v>20.9685467797344</v>
      </c>
      <c r="V92" s="12" t="n">
        <f aca="false">R92*Calculator!$B$7/Calculator!$C$7</f>
        <v>0.0925518484274868</v>
      </c>
      <c r="W92" s="14" t="n">
        <f aca="false">T92-U92-V92</f>
        <v>69.2882860319687</v>
      </c>
      <c r="X92" s="7" t="str">
        <f aca="false">LEFT(A92,7)</f>
        <v>2026-03</v>
      </c>
    </row>
    <row r="93" customFormat="false" ht="15" hidden="false" customHeight="false" outlineLevel="0" collapsed="false">
      <c r="A93" s="7" t="s">
        <v>277</v>
      </c>
      <c r="B93" s="7" t="s">
        <v>199</v>
      </c>
      <c r="C93" s="7" t="s">
        <v>63</v>
      </c>
      <c r="D93" s="7" t="s">
        <v>59</v>
      </c>
      <c r="E93" s="7" t="s">
        <v>67</v>
      </c>
      <c r="F93" s="28" t="n">
        <v>46113.5625</v>
      </c>
      <c r="G93" s="29" t="n">
        <v>68638.16962</v>
      </c>
      <c r="H93" s="29" t="n">
        <v>68920.32565</v>
      </c>
      <c r="I93" s="28" t="n">
        <v>46113.5729166667</v>
      </c>
      <c r="J93" s="29" t="n">
        <v>68563.4489553015</v>
      </c>
      <c r="K93" s="7" t="s">
        <v>69</v>
      </c>
      <c r="L93" s="30" t="n">
        <v>0.004</v>
      </c>
      <c r="M93" s="12" t="n">
        <f aca="false">L93*G93*Settings!$B$5</f>
        <v>24160.63570624</v>
      </c>
      <c r="N93" s="31" t="n">
        <f aca="false">(I93-F93)*24</f>
        <v>0.25</v>
      </c>
      <c r="O93" s="12" t="n">
        <v>35.5694700024403</v>
      </c>
      <c r="P93" s="12" t="n">
        <v>7.02216887578607</v>
      </c>
      <c r="Q93" s="12" t="n">
        <f aca="false">2*Calculator!$C$5*M93</f>
        <v>28.5095501333632</v>
      </c>
      <c r="R93" s="12" t="n">
        <f aca="false">O93-P93-Q93</f>
        <v>0.0377509932909952</v>
      </c>
      <c r="S93" s="12" t="n">
        <f aca="false">O93+2*Calculator!$C$6*M93</f>
        <v>45.2337242849363</v>
      </c>
      <c r="T93" s="12" t="n">
        <f aca="false">S93-2*Calculator!$B$6*M93</f>
        <v>35.5694700024403</v>
      </c>
      <c r="U93" s="12" t="n">
        <f aca="false">2*Calculator!$B$5*M93</f>
        <v>28.5095501333632</v>
      </c>
      <c r="V93" s="12" t="n">
        <f aca="false">R93*Calculator!$B$7/Calculator!$C$7</f>
        <v>0.0377509932909952</v>
      </c>
      <c r="W93" s="14" t="n">
        <f aca="false">T93-U93-V93</f>
        <v>7.02216887578606</v>
      </c>
      <c r="X93" s="7" t="str">
        <f aca="false">LEFT(A93,7)</f>
        <v>2026-04</v>
      </c>
    </row>
    <row r="94" customFormat="false" ht="15" hidden="false" customHeight="false" outlineLevel="0" collapsed="false">
      <c r="A94" s="7" t="s">
        <v>277</v>
      </c>
      <c r="B94" s="7" t="s">
        <v>199</v>
      </c>
      <c r="C94" s="7" t="s">
        <v>64</v>
      </c>
      <c r="D94" s="7" t="s">
        <v>60</v>
      </c>
      <c r="E94" s="7" t="s">
        <v>66</v>
      </c>
      <c r="F94" s="28" t="n">
        <v>46113.8125</v>
      </c>
      <c r="G94" s="29" t="n">
        <v>68105.01828</v>
      </c>
      <c r="H94" s="29" t="n">
        <v>67578.22335</v>
      </c>
      <c r="I94" s="28" t="n">
        <v>46113.8333333333</v>
      </c>
      <c r="J94" s="29" t="n">
        <v>68341.6302072465</v>
      </c>
      <c r="K94" s="7" t="s">
        <v>69</v>
      </c>
      <c r="L94" s="30" t="n">
        <v>0.002</v>
      </c>
      <c r="M94" s="12" t="n">
        <f aca="false">L94*G94*Settings!$B$5</f>
        <v>11986.48321728</v>
      </c>
      <c r="N94" s="31" t="n">
        <f aca="false">(I94-F94)*24</f>
        <v>0.5</v>
      </c>
      <c r="O94" s="12" t="n">
        <v>42.7975424005804</v>
      </c>
      <c r="P94" s="12" t="n">
        <v>28.597305564109</v>
      </c>
      <c r="Q94" s="12" t="n">
        <f aca="false">2*Calculator!$C$5*M94</f>
        <v>14.1440501963904</v>
      </c>
      <c r="R94" s="12" t="n">
        <f aca="false">O94-P94-Q94</f>
        <v>0.0561866400809965</v>
      </c>
      <c r="S94" s="12" t="n">
        <f aca="false">O94+2*Calculator!$C$6*M94</f>
        <v>47.5921356874924</v>
      </c>
      <c r="T94" s="12" t="n">
        <f aca="false">S94-2*Calculator!$B$6*M94</f>
        <v>42.7975424005804</v>
      </c>
      <c r="U94" s="12" t="n">
        <f aca="false">2*Calculator!$B$5*M94</f>
        <v>14.1440501963904</v>
      </c>
      <c r="V94" s="12" t="n">
        <f aca="false">R94*Calculator!$B$7/Calculator!$C$7</f>
        <v>0.0561866400809965</v>
      </c>
      <c r="W94" s="14" t="n">
        <f aca="false">T94-U94-V94</f>
        <v>28.597305564109</v>
      </c>
      <c r="X94" s="7" t="str">
        <f aca="false">LEFT(A94,7)</f>
        <v>2026-04</v>
      </c>
    </row>
    <row r="95" customFormat="false" ht="15" hidden="false" customHeight="false" outlineLevel="0" collapsed="false">
      <c r="A95" s="7" t="s">
        <v>278</v>
      </c>
      <c r="B95" s="7" t="s">
        <v>203</v>
      </c>
      <c r="C95" s="7" t="s">
        <v>63</v>
      </c>
      <c r="D95" s="7" t="s">
        <v>60</v>
      </c>
      <c r="E95" s="7" t="s">
        <v>66</v>
      </c>
      <c r="F95" s="28" t="n">
        <v>46115.6041666667</v>
      </c>
      <c r="G95" s="29" t="n">
        <v>66948.48702</v>
      </c>
      <c r="H95" s="29" t="n">
        <v>66581.4292</v>
      </c>
      <c r="I95" s="28" t="n">
        <v>46115.75</v>
      </c>
      <c r="J95" s="29" t="n">
        <v>67244.783897891</v>
      </c>
      <c r="K95" s="7" t="s">
        <v>69</v>
      </c>
      <c r="L95" s="30" t="n">
        <v>0.003</v>
      </c>
      <c r="M95" s="12" t="n">
        <f aca="false">L95*G95*Settings!$B$5</f>
        <v>17674.40057328</v>
      </c>
      <c r="N95" s="31" t="n">
        <f aca="false">(I95-F95)*24</f>
        <v>3.5</v>
      </c>
      <c r="O95" s="12" t="n">
        <v>67.1172711084481</v>
      </c>
      <c r="P95" s="12" t="n">
        <v>45.4882234068967</v>
      </c>
      <c r="Q95" s="12" t="n">
        <f aca="false">2*Calculator!$C$5*M95</f>
        <v>20.8557926764704</v>
      </c>
      <c r="R95" s="12" t="n">
        <f aca="false">O95-P95-Q95</f>
        <v>0.77325502508101</v>
      </c>
      <c r="S95" s="12" t="n">
        <f aca="false">O95+2*Calculator!$C$6*M95</f>
        <v>74.1870313377601</v>
      </c>
      <c r="T95" s="12" t="n">
        <f aca="false">S95-2*Calculator!$B$6*M95</f>
        <v>67.1172711084481</v>
      </c>
      <c r="U95" s="12" t="n">
        <f aca="false">2*Calculator!$B$5*M95</f>
        <v>20.8557926764704</v>
      </c>
      <c r="V95" s="12" t="n">
        <f aca="false">R95*Calculator!$B$7/Calculator!$C$7</f>
        <v>0.77325502508101</v>
      </c>
      <c r="W95" s="14" t="n">
        <f aca="false">T95-U95-V95</f>
        <v>45.4882234068967</v>
      </c>
      <c r="X95" s="7" t="str">
        <f aca="false">LEFT(A95,7)</f>
        <v>2026-04</v>
      </c>
    </row>
    <row r="96" customFormat="false" ht="15" hidden="false" customHeight="false" outlineLevel="0" collapsed="false">
      <c r="A96" s="7" t="s">
        <v>278</v>
      </c>
      <c r="B96" s="7" t="s">
        <v>203</v>
      </c>
      <c r="C96" s="7" t="s">
        <v>64</v>
      </c>
      <c r="D96" s="7" t="s">
        <v>60</v>
      </c>
      <c r="E96" s="7" t="s">
        <v>66</v>
      </c>
      <c r="F96" s="28" t="n">
        <v>46115.8125</v>
      </c>
      <c r="G96" s="29" t="n">
        <v>66657.92892</v>
      </c>
      <c r="H96" s="29" t="n">
        <v>66247.23985</v>
      </c>
      <c r="I96" s="28" t="n">
        <v>46115.8333333333</v>
      </c>
      <c r="J96" s="29" t="n">
        <v>66852.0546469535</v>
      </c>
      <c r="K96" s="7" t="s">
        <v>69</v>
      </c>
      <c r="L96" s="30" t="n">
        <v>0.002</v>
      </c>
      <c r="M96" s="12" t="n">
        <f aca="false">L96*G96*Settings!$B$5</f>
        <v>11731.79548992</v>
      </c>
      <c r="N96" s="31" t="n">
        <f aca="false">(I96-F96)*24</f>
        <v>0.5</v>
      </c>
      <c r="O96" s="12" t="n">
        <v>33.9765894391005</v>
      </c>
      <c r="P96" s="12" t="n">
        <v>20.0780779696359</v>
      </c>
      <c r="Q96" s="12" t="n">
        <f aca="false">2*Calculator!$C$5*M96</f>
        <v>13.8435186781056</v>
      </c>
      <c r="R96" s="12" t="n">
        <f aca="false">O96-P96-Q96</f>
        <v>0.054992791359</v>
      </c>
      <c r="S96" s="12" t="n">
        <f aca="false">O96+2*Calculator!$C$6*M96</f>
        <v>38.6693076350685</v>
      </c>
      <c r="T96" s="12" t="n">
        <f aca="false">S96-2*Calculator!$B$6*M96</f>
        <v>33.9765894391005</v>
      </c>
      <c r="U96" s="12" t="n">
        <f aca="false">2*Calculator!$B$5*M96</f>
        <v>13.8435186781056</v>
      </c>
      <c r="V96" s="12" t="n">
        <f aca="false">R96*Calculator!$B$7/Calculator!$C$7</f>
        <v>0.054992791359</v>
      </c>
      <c r="W96" s="14" t="n">
        <f aca="false">T96-U96-V96</f>
        <v>20.0780779696359</v>
      </c>
      <c r="X96" s="7" t="str">
        <f aca="false">LEFT(A96,7)</f>
        <v>2026-04</v>
      </c>
    </row>
    <row r="97" customFormat="false" ht="15" hidden="false" customHeight="false" outlineLevel="0" collapsed="false">
      <c r="A97" s="7" t="s">
        <v>279</v>
      </c>
      <c r="B97" s="7" t="s">
        <v>213</v>
      </c>
      <c r="C97" s="7" t="s">
        <v>63</v>
      </c>
      <c r="D97" s="7" t="s">
        <v>60</v>
      </c>
      <c r="E97" s="7" t="s">
        <v>66</v>
      </c>
      <c r="F97" s="28" t="n">
        <v>46118.5625</v>
      </c>
      <c r="G97" s="29" t="n">
        <v>69103.61796</v>
      </c>
      <c r="H97" s="29" t="n">
        <v>68635.64345</v>
      </c>
      <c r="I97" s="28" t="n">
        <v>46118.6041666667</v>
      </c>
      <c r="J97" s="29" t="n">
        <v>69638.2759312255</v>
      </c>
      <c r="K97" s="7" t="s">
        <v>69</v>
      </c>
      <c r="L97" s="30" t="n">
        <v>0.002</v>
      </c>
      <c r="M97" s="12" t="n">
        <f aca="false">L97*G97*Settings!$B$5</f>
        <v>12162.23676096</v>
      </c>
      <c r="N97" s="31" t="n">
        <f aca="false">(I97-F97)*24</f>
        <v>1</v>
      </c>
      <c r="O97" s="12" t="n">
        <v>66.4204380560597</v>
      </c>
      <c r="P97" s="12" t="n">
        <v>51.9169707186148</v>
      </c>
      <c r="Q97" s="12" t="n">
        <f aca="false">2*Calculator!$C$5*M97</f>
        <v>14.3514393779328</v>
      </c>
      <c r="R97" s="12" t="n">
        <f aca="false">O97-P97-Q97</f>
        <v>0.15202795951201</v>
      </c>
      <c r="S97" s="12" t="n">
        <f aca="false">O97+2*Calculator!$C$6*M97</f>
        <v>71.2853327604437</v>
      </c>
      <c r="T97" s="12" t="n">
        <f aca="false">S97-2*Calculator!$B$6*M97</f>
        <v>66.4204380560597</v>
      </c>
      <c r="U97" s="12" t="n">
        <f aca="false">2*Calculator!$B$5*M97</f>
        <v>14.3514393779328</v>
      </c>
      <c r="V97" s="12" t="n">
        <f aca="false">R97*Calculator!$B$7/Calculator!$C$7</f>
        <v>0.15202795951201</v>
      </c>
      <c r="W97" s="14" t="n">
        <f aca="false">T97-U97-V97</f>
        <v>51.9169707186148</v>
      </c>
      <c r="X97" s="7" t="str">
        <f aca="false">LEFT(A97,7)</f>
        <v>2026-04</v>
      </c>
    </row>
    <row r="98" customFormat="false" ht="15" hidden="false" customHeight="false" outlineLevel="0" collapsed="false">
      <c r="A98" s="7" t="s">
        <v>279</v>
      </c>
      <c r="B98" s="7" t="s">
        <v>213</v>
      </c>
      <c r="C98" s="7" t="s">
        <v>64</v>
      </c>
      <c r="D98" s="7" t="s">
        <v>60</v>
      </c>
      <c r="E98" s="7" t="s">
        <v>67</v>
      </c>
      <c r="F98" s="28" t="n">
        <v>46118.8229166667</v>
      </c>
      <c r="G98" s="29" t="n">
        <v>69302.33676</v>
      </c>
      <c r="H98" s="29" t="n">
        <v>69834.2463</v>
      </c>
      <c r="I98" s="28" t="n">
        <v>46118.8854166667</v>
      </c>
      <c r="J98" s="29" t="n">
        <v>69848.21314926</v>
      </c>
      <c r="K98" s="7" t="s">
        <v>70</v>
      </c>
      <c r="L98" s="30" t="n">
        <v>0.002</v>
      </c>
      <c r="M98" s="12" t="n">
        <f aca="false">L98*G98*Settings!$B$5</f>
        <v>12197.21126976</v>
      </c>
      <c r="N98" s="31" t="n">
        <f aca="false">(I98-F98)*24</f>
        <v>1.5</v>
      </c>
      <c r="O98" s="12" t="n">
        <v>-96.0742445097568</v>
      </c>
      <c r="P98" s="12" t="n">
        <v>-110.695651519382</v>
      </c>
      <c r="Q98" s="12" t="n">
        <f aca="false">2*Calculator!$C$5*M98</f>
        <v>14.3927092983168</v>
      </c>
      <c r="R98" s="12" t="n">
        <f aca="false">O98-P98-Q98</f>
        <v>0.228697711308003</v>
      </c>
      <c r="S98" s="12" t="n">
        <f aca="false">O98+2*Calculator!$C$6*M98</f>
        <v>-91.1953600018528</v>
      </c>
      <c r="T98" s="12" t="n">
        <f aca="false">S98-2*Calculator!$B$6*M98</f>
        <v>-96.0742445097568</v>
      </c>
      <c r="U98" s="12" t="n">
        <f aca="false">2*Calculator!$B$5*M98</f>
        <v>14.3927092983168</v>
      </c>
      <c r="V98" s="12" t="n">
        <f aca="false">R98*Calculator!$B$7/Calculator!$C$7</f>
        <v>0.228697711308003</v>
      </c>
      <c r="W98" s="14" t="n">
        <f aca="false">T98-U98-V98</f>
        <v>-110.695651519382</v>
      </c>
      <c r="X98" s="7" t="str">
        <f aca="false">LEFT(A98,7)</f>
        <v>2026-04</v>
      </c>
    </row>
    <row r="99" customFormat="false" ht="15" hidden="false" customHeight="false" outlineLevel="0" collapsed="false">
      <c r="A99" s="7" t="s">
        <v>280</v>
      </c>
      <c r="B99" s="7" t="s">
        <v>199</v>
      </c>
      <c r="C99" s="7" t="s">
        <v>63</v>
      </c>
      <c r="D99" s="7" t="s">
        <v>60</v>
      </c>
      <c r="E99" s="7" t="s">
        <v>66</v>
      </c>
      <c r="F99" s="28" t="n">
        <v>46120.5625</v>
      </c>
      <c r="G99" s="29" t="n">
        <v>71626.42242</v>
      </c>
      <c r="H99" s="29" t="n">
        <v>71263.863</v>
      </c>
      <c r="I99" s="28" t="n">
        <v>46120.5833333333</v>
      </c>
      <c r="J99" s="29" t="n">
        <v>71703.516572971</v>
      </c>
      <c r="K99" s="7" t="s">
        <v>69</v>
      </c>
      <c r="L99" s="30" t="n">
        <v>0.003</v>
      </c>
      <c r="M99" s="12" t="n">
        <f aca="false">L99*G99*Settings!$B$5</f>
        <v>18909.37551888</v>
      </c>
      <c r="N99" s="31" t="n">
        <f aca="false">(I99-F99)*24</f>
        <v>0.5</v>
      </c>
      <c r="O99" s="12" t="n">
        <v>28.2573698454071</v>
      </c>
      <c r="P99" s="12" t="n">
        <v>5.82612313613568</v>
      </c>
      <c r="Q99" s="12" t="n">
        <f aca="false">2*Calculator!$C$5*M99</f>
        <v>22.3130631122784</v>
      </c>
      <c r="R99" s="12" t="n">
        <f aca="false">O99-P99-Q99</f>
        <v>0.118183596992999</v>
      </c>
      <c r="S99" s="12" t="n">
        <f aca="false">O99+2*Calculator!$C$6*M99</f>
        <v>35.8211200529591</v>
      </c>
      <c r="T99" s="12" t="n">
        <f aca="false">S99-2*Calculator!$B$6*M99</f>
        <v>28.2573698454071</v>
      </c>
      <c r="U99" s="12" t="n">
        <f aca="false">2*Calculator!$B$5*M99</f>
        <v>22.3130631122784</v>
      </c>
      <c r="V99" s="12" t="n">
        <f aca="false">R99*Calculator!$B$7/Calculator!$C$7</f>
        <v>0.118183596992999</v>
      </c>
      <c r="W99" s="14" t="n">
        <f aca="false">T99-U99-V99</f>
        <v>5.82612313613568</v>
      </c>
      <c r="X99" s="7" t="str">
        <f aca="false">LEFT(A99,7)</f>
        <v>2026-04</v>
      </c>
    </row>
    <row r="100" customFormat="false" ht="15" hidden="false" customHeight="false" outlineLevel="0" collapsed="false">
      <c r="A100" s="7" t="s">
        <v>281</v>
      </c>
      <c r="B100" s="7" t="s">
        <v>201</v>
      </c>
      <c r="C100" s="7" t="s">
        <v>63</v>
      </c>
      <c r="D100" s="7" t="s">
        <v>60</v>
      </c>
      <c r="E100" s="7" t="s">
        <v>66</v>
      </c>
      <c r="F100" s="28" t="n">
        <v>46121.5729166667</v>
      </c>
      <c r="G100" s="29" t="n">
        <v>70930.88334</v>
      </c>
      <c r="H100" s="29" t="n">
        <v>70595.0861</v>
      </c>
      <c r="I100" s="28" t="n">
        <v>46121.59375</v>
      </c>
      <c r="J100" s="29" t="n">
        <v>71213.405159862</v>
      </c>
      <c r="K100" s="7" t="s">
        <v>69</v>
      </c>
      <c r="L100" s="30" t="n">
        <v>0.003</v>
      </c>
      <c r="M100" s="12" t="n">
        <f aca="false">L100*G100*Settings!$B$5</f>
        <v>18725.75320176</v>
      </c>
      <c r="N100" s="31" t="n">
        <f aca="false">(I100-F100)*24</f>
        <v>0.5</v>
      </c>
      <c r="O100" s="12" t="n">
        <v>63.2475802932172</v>
      </c>
      <c r="P100" s="12" t="n">
        <v>41.0536615505479</v>
      </c>
      <c r="Q100" s="12" t="n">
        <f aca="false">2*Calculator!$C$5*M100</f>
        <v>22.0963887780768</v>
      </c>
      <c r="R100" s="12" t="n">
        <f aca="false">O100-P100-Q100</f>
        <v>0.0975299645924892</v>
      </c>
      <c r="S100" s="12" t="n">
        <f aca="false">O100+2*Calculator!$C$6*M100</f>
        <v>70.7378815739212</v>
      </c>
      <c r="T100" s="12" t="n">
        <f aca="false">S100-2*Calculator!$B$6*M100</f>
        <v>63.2475802932172</v>
      </c>
      <c r="U100" s="12" t="n">
        <f aca="false">2*Calculator!$B$5*M100</f>
        <v>22.0963887780768</v>
      </c>
      <c r="V100" s="12" t="n">
        <f aca="false">R100*Calculator!$B$7/Calculator!$C$7</f>
        <v>0.0975299645924892</v>
      </c>
      <c r="W100" s="14" t="n">
        <f aca="false">T100-U100-V100</f>
        <v>41.0536615505479</v>
      </c>
      <c r="X100" s="7" t="str">
        <f aca="false">LEFT(A100,7)</f>
        <v>2026-04</v>
      </c>
    </row>
    <row r="101" customFormat="false" ht="15" hidden="false" customHeight="false" outlineLevel="0" collapsed="false">
      <c r="A101" s="7" t="s">
        <v>282</v>
      </c>
      <c r="B101" s="7" t="s">
        <v>203</v>
      </c>
      <c r="C101" s="7" t="s">
        <v>63</v>
      </c>
      <c r="D101" s="7" t="s">
        <v>59</v>
      </c>
      <c r="E101" s="7" t="s">
        <v>67</v>
      </c>
      <c r="F101" s="28" t="n">
        <v>46122.5625</v>
      </c>
      <c r="G101" s="29" t="n">
        <v>71446.90776</v>
      </c>
      <c r="H101" s="29" t="n">
        <v>71725.427</v>
      </c>
      <c r="I101" s="28" t="n">
        <v>46122.5833333333</v>
      </c>
      <c r="J101" s="29" t="n">
        <v>71739.7720854</v>
      </c>
      <c r="K101" s="7" t="s">
        <v>70</v>
      </c>
      <c r="L101" s="30" t="n">
        <v>0.004</v>
      </c>
      <c r="M101" s="12" t="n">
        <f aca="false">L101*G101*Settings!$B$5</f>
        <v>25149.31153152</v>
      </c>
      <c r="N101" s="31" t="n">
        <f aca="false">(I101-F101)*24</f>
        <v>0.5</v>
      </c>
      <c r="O101" s="12" t="n">
        <v>-103.088242540802</v>
      </c>
      <c r="P101" s="12" t="n">
        <v>-132.921613345068</v>
      </c>
      <c r="Q101" s="12" t="n">
        <f aca="false">2*Calculator!$C$5*M101</f>
        <v>29.6761876071936</v>
      </c>
      <c r="R101" s="12" t="n">
        <f aca="false">O101-P101-Q101</f>
        <v>0.157183197071994</v>
      </c>
      <c r="S101" s="12" t="n">
        <f aca="false">O101+2*Calculator!$C$6*M101</f>
        <v>-93.0285179281939</v>
      </c>
      <c r="T101" s="12" t="n">
        <f aca="false">S101-2*Calculator!$B$6*M101</f>
        <v>-103.088242540802</v>
      </c>
      <c r="U101" s="12" t="n">
        <f aca="false">2*Calculator!$B$5*M101</f>
        <v>29.6761876071936</v>
      </c>
      <c r="V101" s="12" t="n">
        <f aca="false">R101*Calculator!$B$7/Calculator!$C$7</f>
        <v>0.157183197071994</v>
      </c>
      <c r="W101" s="14" t="n">
        <f aca="false">T101-U101-V101</f>
        <v>-132.921613345068</v>
      </c>
      <c r="X101" s="7" t="str">
        <f aca="false">LEFT(A101,7)</f>
        <v>2026-04</v>
      </c>
    </row>
    <row r="102" customFormat="false" ht="15" hidden="false" customHeight="false" outlineLevel="0" collapsed="false">
      <c r="A102" s="7" t="s">
        <v>283</v>
      </c>
      <c r="B102" s="7" t="s">
        <v>205</v>
      </c>
      <c r="C102" s="7" t="s">
        <v>63</v>
      </c>
      <c r="D102" s="7" t="s">
        <v>60</v>
      </c>
      <c r="E102" s="7" t="s">
        <v>66</v>
      </c>
      <c r="F102" s="28" t="n">
        <v>46123.5625</v>
      </c>
      <c r="G102" s="29" t="n">
        <v>72722.34156</v>
      </c>
      <c r="H102" s="29" t="n">
        <v>72370.859</v>
      </c>
      <c r="I102" s="28" t="n">
        <v>46123.7395833333</v>
      </c>
      <c r="J102" s="29" t="n">
        <v>72797.566934128</v>
      </c>
      <c r="K102" s="7" t="s">
        <v>69</v>
      </c>
      <c r="L102" s="30" t="n">
        <v>0.003</v>
      </c>
      <c r="M102" s="12" t="n">
        <f aca="false">L102*G102*Settings!$B$5</f>
        <v>19198.69817184</v>
      </c>
      <c r="N102" s="31" t="n">
        <f aca="false">(I102-F102)*24</f>
        <v>4.25</v>
      </c>
      <c r="O102" s="12" t="n">
        <v>27.4218922285422</v>
      </c>
      <c r="P102" s="12" t="n">
        <v>3.76749618932104</v>
      </c>
      <c r="Q102" s="12" t="n">
        <f aca="false">2*Calculator!$C$5*M102</f>
        <v>22.6544638427712</v>
      </c>
      <c r="R102" s="12" t="n">
        <f aca="false">O102-P102-Q102</f>
        <v>0.999932196449997</v>
      </c>
      <c r="S102" s="12" t="n">
        <f aca="false">O102+2*Calculator!$C$6*M102</f>
        <v>35.1013714972782</v>
      </c>
      <c r="T102" s="12" t="n">
        <f aca="false">S102-2*Calculator!$B$6*M102</f>
        <v>27.4218922285422</v>
      </c>
      <c r="U102" s="12" t="n">
        <f aca="false">2*Calculator!$B$5*M102</f>
        <v>22.6544638427712</v>
      </c>
      <c r="V102" s="12" t="n">
        <f aca="false">R102*Calculator!$B$7/Calculator!$C$7</f>
        <v>0.999932196449997</v>
      </c>
      <c r="W102" s="14" t="n">
        <f aca="false">T102-U102-V102</f>
        <v>3.76749618932104</v>
      </c>
      <c r="X102" s="7" t="str">
        <f aca="false">LEFT(A102,7)</f>
        <v>2026-04</v>
      </c>
    </row>
    <row r="103" customFormat="false" ht="15" hidden="false" customHeight="false" outlineLevel="0" collapsed="false">
      <c r="A103" s="7" t="s">
        <v>283</v>
      </c>
      <c r="B103" s="7" t="s">
        <v>205</v>
      </c>
      <c r="C103" s="7" t="s">
        <v>64</v>
      </c>
      <c r="D103" s="7" t="s">
        <v>60</v>
      </c>
      <c r="E103" s="7" t="s">
        <v>67</v>
      </c>
      <c r="F103" s="28" t="n">
        <v>46123.8125</v>
      </c>
      <c r="G103" s="29" t="n">
        <v>72597.77754</v>
      </c>
      <c r="H103" s="29" t="n">
        <v>73005.2519</v>
      </c>
      <c r="I103" s="28" t="n">
        <v>46123.9166666667</v>
      </c>
      <c r="J103" s="29" t="n">
        <v>73019.85295038</v>
      </c>
      <c r="K103" s="7" t="s">
        <v>70</v>
      </c>
      <c r="L103" s="30" t="n">
        <v>0.002</v>
      </c>
      <c r="M103" s="12" t="n">
        <f aca="false">L103*G103*Settings!$B$5</f>
        <v>12777.20884704</v>
      </c>
      <c r="N103" s="31" t="n">
        <f aca="false">(I103-F103)*24</f>
        <v>2.5</v>
      </c>
      <c r="O103" s="12" t="n">
        <v>-74.2852722268747</v>
      </c>
      <c r="P103" s="12" t="n">
        <v>-89.7616664428519</v>
      </c>
      <c r="Q103" s="12" t="n">
        <f aca="false">2*Calculator!$C$5*M103</f>
        <v>15.0771064395072</v>
      </c>
      <c r="R103" s="12" t="n">
        <f aca="false">O103-P103-Q103</f>
        <v>0.399287776470006</v>
      </c>
      <c r="S103" s="12" t="n">
        <f aca="false">O103+2*Calculator!$C$6*M103</f>
        <v>-69.1743886880587</v>
      </c>
      <c r="T103" s="12" t="n">
        <f aca="false">S103-2*Calculator!$B$6*M103</f>
        <v>-74.2852722268747</v>
      </c>
      <c r="U103" s="12" t="n">
        <f aca="false">2*Calculator!$B$5*M103</f>
        <v>15.0771064395072</v>
      </c>
      <c r="V103" s="12" t="n">
        <f aca="false">R103*Calculator!$B$7/Calculator!$C$7</f>
        <v>0.399287776470006</v>
      </c>
      <c r="W103" s="14" t="n">
        <f aca="false">T103-U103-V103</f>
        <v>-89.7616664428519</v>
      </c>
      <c r="X103" s="7" t="str">
        <f aca="false">LEFT(A103,7)</f>
        <v>2026-04</v>
      </c>
    </row>
    <row r="104" customFormat="false" ht="15" hidden="false" customHeight="false" outlineLevel="0" collapsed="false">
      <c r="A104" s="7" t="s">
        <v>284</v>
      </c>
      <c r="B104" s="7" t="s">
        <v>207</v>
      </c>
      <c r="C104" s="7" t="s">
        <v>63</v>
      </c>
      <c r="D104" s="7" t="s">
        <v>60</v>
      </c>
      <c r="E104" s="7" t="s">
        <v>67</v>
      </c>
      <c r="F104" s="28" t="n">
        <v>46124.5625</v>
      </c>
      <c r="G104" s="29" t="n">
        <v>71613.87436</v>
      </c>
      <c r="H104" s="29" t="n">
        <v>72029.6815</v>
      </c>
      <c r="I104" s="28" t="n">
        <v>46124.6770833333</v>
      </c>
      <c r="J104" s="29" t="n">
        <v>71427.934515357</v>
      </c>
      <c r="K104" s="7" t="s">
        <v>69</v>
      </c>
      <c r="L104" s="30" t="n">
        <v>0.002</v>
      </c>
      <c r="M104" s="12" t="n">
        <f aca="false">L104*G104*Settings!$B$5</f>
        <v>12604.04188736</v>
      </c>
      <c r="N104" s="31" t="n">
        <f aca="false">(I104-F104)*24</f>
        <v>2.75</v>
      </c>
      <c r="O104" s="12" t="n">
        <v>33.4014754026807</v>
      </c>
      <c r="P104" s="12" t="n">
        <v>18.0954420357179</v>
      </c>
      <c r="Q104" s="12" t="n">
        <f aca="false">2*Calculator!$C$5*M104</f>
        <v>14.8727694270848</v>
      </c>
      <c r="R104" s="12" t="n">
        <f aca="false">O104-P104-Q104</f>
        <v>0.433263939877998</v>
      </c>
      <c r="S104" s="12" t="n">
        <f aca="false">O104+2*Calculator!$C$6*M104</f>
        <v>38.4430921576247</v>
      </c>
      <c r="T104" s="12" t="n">
        <f aca="false">S104-2*Calculator!$B$6*M104</f>
        <v>33.4014754026807</v>
      </c>
      <c r="U104" s="12" t="n">
        <f aca="false">2*Calculator!$B$5*M104</f>
        <v>14.8727694270848</v>
      </c>
      <c r="V104" s="12" t="n">
        <f aca="false">R104*Calculator!$B$7/Calculator!$C$7</f>
        <v>0.433263939877998</v>
      </c>
      <c r="W104" s="14" t="n">
        <f aca="false">T104-U104-V104</f>
        <v>18.0954420357179</v>
      </c>
      <c r="X104" s="7" t="str">
        <f aca="false">LEFT(A104,7)</f>
        <v>2026-04</v>
      </c>
    </row>
    <row r="105" customFormat="false" ht="15" hidden="false" customHeight="false" outlineLevel="0" collapsed="false">
      <c r="A105" s="7" t="s">
        <v>285</v>
      </c>
      <c r="B105" s="7" t="s">
        <v>213</v>
      </c>
      <c r="C105" s="7" t="s">
        <v>64</v>
      </c>
      <c r="D105" s="7" t="s">
        <v>59</v>
      </c>
      <c r="E105" s="7" t="s">
        <v>66</v>
      </c>
      <c r="F105" s="28" t="n">
        <v>46125.8125</v>
      </c>
      <c r="G105" s="29" t="n">
        <v>71637.3246</v>
      </c>
      <c r="H105" s="29" t="n">
        <v>71081.4177</v>
      </c>
      <c r="I105" s="28" t="n">
        <v>46125.84375</v>
      </c>
      <c r="J105" s="29" t="n">
        <v>71817.556890345</v>
      </c>
      <c r="K105" s="7" t="s">
        <v>69</v>
      </c>
      <c r="L105" s="30" t="n">
        <v>0.002</v>
      </c>
      <c r="M105" s="12" t="n">
        <f aca="false">L105*G105*Settings!$B$5</f>
        <v>12608.1691296</v>
      </c>
      <c r="N105" s="31" t="n">
        <f aca="false">(I105-F105)*24</f>
        <v>0.75</v>
      </c>
      <c r="O105" s="12" t="n">
        <v>39.0546362566798</v>
      </c>
      <c r="P105" s="12" t="n">
        <v>24.0784953624268</v>
      </c>
      <c r="Q105" s="12" t="n">
        <f aca="false">2*Calculator!$C$5*M105</f>
        <v>14.877639572928</v>
      </c>
      <c r="R105" s="12" t="n">
        <f aca="false">O105-P105-Q105</f>
        <v>0.0985013213249992</v>
      </c>
      <c r="S105" s="12" t="n">
        <f aca="false">O105+2*Calculator!$C$6*M105</f>
        <v>44.0979039085198</v>
      </c>
      <c r="T105" s="12" t="n">
        <f aca="false">S105-2*Calculator!$B$6*M105</f>
        <v>39.0546362566798</v>
      </c>
      <c r="U105" s="12" t="n">
        <f aca="false">2*Calculator!$B$5*M105</f>
        <v>14.877639572928</v>
      </c>
      <c r="V105" s="12" t="n">
        <f aca="false">R105*Calculator!$B$7/Calculator!$C$7</f>
        <v>0.0985013213249992</v>
      </c>
      <c r="W105" s="14" t="n">
        <f aca="false">T105-U105-V105</f>
        <v>24.0784953624268</v>
      </c>
      <c r="X105" s="7" t="str">
        <f aca="false">LEFT(A105,7)</f>
        <v>2026-04</v>
      </c>
    </row>
    <row r="106" customFormat="false" ht="15" hidden="false" customHeight="false" outlineLevel="0" collapsed="false">
      <c r="A106" s="7" t="s">
        <v>286</v>
      </c>
      <c r="B106" s="7" t="s">
        <v>209</v>
      </c>
      <c r="C106" s="7" t="s">
        <v>63</v>
      </c>
      <c r="D106" s="7" t="s">
        <v>60</v>
      </c>
      <c r="E106" s="7" t="s">
        <v>66</v>
      </c>
      <c r="F106" s="28" t="n">
        <v>46126.5625</v>
      </c>
      <c r="G106" s="29" t="n">
        <v>74528.20266</v>
      </c>
      <c r="H106" s="29" t="n">
        <v>74124.5318</v>
      </c>
      <c r="I106" s="28" t="n">
        <v>46126.5833333333</v>
      </c>
      <c r="J106" s="29" t="n">
        <v>74757.627768543</v>
      </c>
      <c r="K106" s="7" t="s">
        <v>69</v>
      </c>
      <c r="L106" s="30" t="n">
        <v>0.002</v>
      </c>
      <c r="M106" s="12" t="n">
        <f aca="false">L106*G106*Settings!$B$5</f>
        <v>13116.96366816</v>
      </c>
      <c r="N106" s="31" t="n">
        <f aca="false">(I106-F106)*24</f>
        <v>0.5</v>
      </c>
      <c r="O106" s="12" t="n">
        <v>36.6356787214009</v>
      </c>
      <c r="P106" s="12" t="n">
        <v>21.0756805700461</v>
      </c>
      <c r="Q106" s="12" t="n">
        <f aca="false">2*Calculator!$C$5*M106</f>
        <v>15.4780171284288</v>
      </c>
      <c r="R106" s="12" t="n">
        <f aca="false">O106-P106-Q106</f>
        <v>0.0819810229260121</v>
      </c>
      <c r="S106" s="12" t="n">
        <f aca="false">O106+2*Calculator!$C$6*M106</f>
        <v>41.8824641886649</v>
      </c>
      <c r="T106" s="12" t="n">
        <f aca="false">S106-2*Calculator!$B$6*M106</f>
        <v>36.6356787214009</v>
      </c>
      <c r="U106" s="12" t="n">
        <f aca="false">2*Calculator!$B$5*M106</f>
        <v>15.4780171284288</v>
      </c>
      <c r="V106" s="12" t="n">
        <f aca="false">R106*Calculator!$B$7/Calculator!$C$7</f>
        <v>0.0819810229260121</v>
      </c>
      <c r="W106" s="14" t="n">
        <f aca="false">T106-U106-V106</f>
        <v>21.0756805700461</v>
      </c>
      <c r="X106" s="7" t="str">
        <f aca="false">LEFT(A106,7)</f>
        <v>2026-04</v>
      </c>
    </row>
    <row r="107" customFormat="false" ht="15" hidden="false" customHeight="false" outlineLevel="0" collapsed="false">
      <c r="A107" s="7" t="s">
        <v>286</v>
      </c>
      <c r="B107" s="7" t="s">
        <v>209</v>
      </c>
      <c r="C107" s="7" t="s">
        <v>64</v>
      </c>
      <c r="D107" s="7" t="s">
        <v>59</v>
      </c>
      <c r="E107" s="7" t="s">
        <v>66</v>
      </c>
      <c r="F107" s="28" t="n">
        <v>46126.8125</v>
      </c>
      <c r="G107" s="29" t="n">
        <v>75486.19422</v>
      </c>
      <c r="H107" s="29" t="n">
        <v>75084.8036</v>
      </c>
      <c r="I107" s="28" t="n">
        <v>46126.8333333333</v>
      </c>
      <c r="J107" s="29" t="n">
        <v>75714.506414531</v>
      </c>
      <c r="K107" s="7" t="s">
        <v>69</v>
      </c>
      <c r="L107" s="30" t="n">
        <v>0.002</v>
      </c>
      <c r="M107" s="12" t="n">
        <f aca="false">L107*G107*Settings!$B$5</f>
        <v>13285.57018272</v>
      </c>
      <c r="N107" s="31" t="n">
        <f aca="false">(I107-F107)*24</f>
        <v>0.5</v>
      </c>
      <c r="O107" s="12" t="n">
        <v>36.4205711430012</v>
      </c>
      <c r="P107" s="12" t="n">
        <v>20.6813222171601</v>
      </c>
      <c r="Q107" s="12" t="n">
        <f aca="false">2*Calculator!$C$5*M107</f>
        <v>15.6769728156096</v>
      </c>
      <c r="R107" s="12" t="n">
        <f aca="false">O107-P107-Q107</f>
        <v>0.0622761102314939</v>
      </c>
      <c r="S107" s="12" t="n">
        <f aca="false">O107+2*Calculator!$C$6*M107</f>
        <v>41.7347992160892</v>
      </c>
      <c r="T107" s="12" t="n">
        <f aca="false">S107-2*Calculator!$B$6*M107</f>
        <v>36.4205711430012</v>
      </c>
      <c r="U107" s="12" t="n">
        <f aca="false">2*Calculator!$B$5*M107</f>
        <v>15.6769728156096</v>
      </c>
      <c r="V107" s="12" t="n">
        <f aca="false">R107*Calculator!$B$7/Calculator!$C$7</f>
        <v>0.0622761102314939</v>
      </c>
      <c r="W107" s="14" t="n">
        <f aca="false">T107-U107-V107</f>
        <v>20.6813222171601</v>
      </c>
      <c r="X107" s="7" t="str">
        <f aca="false">LEFT(A107,7)</f>
        <v>2026-04</v>
      </c>
    </row>
    <row r="108" customFormat="false" ht="15" hidden="false" customHeight="false" outlineLevel="0" collapsed="false">
      <c r="A108" s="7" t="s">
        <v>287</v>
      </c>
      <c r="B108" s="7" t="s">
        <v>199</v>
      </c>
      <c r="C108" s="7" t="s">
        <v>64</v>
      </c>
      <c r="D108" s="7" t="s">
        <v>60</v>
      </c>
      <c r="E108" s="7" t="s">
        <v>66</v>
      </c>
      <c r="F108" s="28" t="n">
        <v>46127.8125</v>
      </c>
      <c r="G108" s="29" t="n">
        <v>74030.70318</v>
      </c>
      <c r="H108" s="29" t="n">
        <v>73469.6919</v>
      </c>
      <c r="I108" s="28" t="n">
        <v>46127.8333333333</v>
      </c>
      <c r="J108" s="29" t="n">
        <v>74310.882030564</v>
      </c>
      <c r="K108" s="7" t="s">
        <v>69</v>
      </c>
      <c r="L108" s="30" t="n">
        <v>0.002</v>
      </c>
      <c r="M108" s="12" t="n">
        <f aca="false">L108*G108*Settings!$B$5</f>
        <v>13029.40375968</v>
      </c>
      <c r="N108" s="31" t="n">
        <f aca="false">(I108-F108)*24</f>
        <v>0.5</v>
      </c>
      <c r="O108" s="12" t="n">
        <v>48.0323578944015</v>
      </c>
      <c r="P108" s="12" t="n">
        <v>32.5965861278556</v>
      </c>
      <c r="Q108" s="12" t="n">
        <f aca="false">2*Calculator!$C$5*M108</f>
        <v>15.3746964364224</v>
      </c>
      <c r="R108" s="12" t="n">
        <f aca="false">O108-P108-Q108</f>
        <v>0.0610753301235096</v>
      </c>
      <c r="S108" s="12" t="n">
        <f aca="false">O108+2*Calculator!$C$6*M108</f>
        <v>53.2441193982735</v>
      </c>
      <c r="T108" s="12" t="n">
        <f aca="false">S108-2*Calculator!$B$6*M108</f>
        <v>48.0323578944015</v>
      </c>
      <c r="U108" s="12" t="n">
        <f aca="false">2*Calculator!$B$5*M108</f>
        <v>15.3746964364224</v>
      </c>
      <c r="V108" s="12" t="n">
        <f aca="false">R108*Calculator!$B$7/Calculator!$C$7</f>
        <v>0.0610753301235096</v>
      </c>
      <c r="W108" s="14" t="n">
        <f aca="false">T108-U108-V108</f>
        <v>32.5965861278556</v>
      </c>
      <c r="X108" s="7" t="str">
        <f aca="false">LEFT(A108,7)</f>
        <v>2026-04</v>
      </c>
    </row>
    <row r="109" customFormat="false" ht="15" hidden="false" customHeight="false" outlineLevel="0" collapsed="false">
      <c r="A109" s="7" t="s">
        <v>288</v>
      </c>
      <c r="B109" s="7" t="s">
        <v>201</v>
      </c>
      <c r="C109" s="7" t="s">
        <v>63</v>
      </c>
      <c r="D109" s="7" t="s">
        <v>59</v>
      </c>
      <c r="E109" s="7" t="s">
        <v>67</v>
      </c>
      <c r="F109" s="28" t="n">
        <v>46128.5625</v>
      </c>
      <c r="G109" s="29" t="n">
        <v>74652.76646</v>
      </c>
      <c r="H109" s="29" t="n">
        <v>74912.2</v>
      </c>
      <c r="I109" s="28" t="n">
        <v>46128.5729166667</v>
      </c>
      <c r="J109" s="29" t="n">
        <v>74546.664736677</v>
      </c>
      <c r="K109" s="7" t="s">
        <v>69</v>
      </c>
      <c r="L109" s="30" t="n">
        <v>0.004</v>
      </c>
      <c r="M109" s="12" t="n">
        <f aca="false">L109*G109*Settings!$B$5</f>
        <v>26277.77379392</v>
      </c>
      <c r="N109" s="31" t="n">
        <f aca="false">(I109-F109)*24</f>
        <v>0.25</v>
      </c>
      <c r="O109" s="12" t="n">
        <v>38.8808434757628</v>
      </c>
      <c r="P109" s="12" t="n">
        <v>7.83201137738415</v>
      </c>
      <c r="Q109" s="12" t="n">
        <f aca="false">2*Calculator!$C$5*M109</f>
        <v>31.0077730768256</v>
      </c>
      <c r="R109" s="12" t="n">
        <f aca="false">O109-P109-Q109</f>
        <v>0.041059021553</v>
      </c>
      <c r="S109" s="12" t="n">
        <f aca="false">O109+2*Calculator!$C$6*M109</f>
        <v>49.3919529933308</v>
      </c>
      <c r="T109" s="12" t="n">
        <f aca="false">S109-2*Calculator!$B$6*M109</f>
        <v>38.8808434757628</v>
      </c>
      <c r="U109" s="12" t="n">
        <f aca="false">2*Calculator!$B$5*M109</f>
        <v>31.0077730768256</v>
      </c>
      <c r="V109" s="12" t="n">
        <f aca="false">R109*Calculator!$B$7/Calculator!$C$7</f>
        <v>0.041059021553</v>
      </c>
      <c r="W109" s="14" t="n">
        <f aca="false">T109-U109-V109</f>
        <v>7.83201137738415</v>
      </c>
      <c r="X109" s="7" t="str">
        <f aca="false">LEFT(A109,7)</f>
        <v>2026-04</v>
      </c>
    </row>
    <row r="110" customFormat="false" ht="15" hidden="false" customHeight="false" outlineLevel="0" collapsed="false">
      <c r="A110" s="7" t="s">
        <v>288</v>
      </c>
      <c r="B110" s="7" t="s">
        <v>201</v>
      </c>
      <c r="C110" s="7" t="s">
        <v>64</v>
      </c>
      <c r="D110" s="7" t="s">
        <v>59</v>
      </c>
      <c r="E110" s="7" t="s">
        <v>67</v>
      </c>
      <c r="F110" s="28" t="n">
        <v>46128.8125</v>
      </c>
      <c r="G110" s="29" t="n">
        <v>73741.2488</v>
      </c>
      <c r="H110" s="29" t="n">
        <v>74551.66</v>
      </c>
      <c r="I110" s="28" t="n">
        <v>46128.875</v>
      </c>
      <c r="J110" s="29" t="n">
        <v>74566.570332</v>
      </c>
      <c r="K110" s="7" t="s">
        <v>70</v>
      </c>
      <c r="L110" s="30" t="n">
        <v>0.001</v>
      </c>
      <c r="M110" s="12" t="n">
        <f aca="false">L110*G110*Settings!$B$5</f>
        <v>6489.2298944</v>
      </c>
      <c r="N110" s="31" t="n">
        <f aca="false">(I110-F110)*24</f>
        <v>1.5</v>
      </c>
      <c r="O110" s="12" t="n">
        <v>-72.6282948160002</v>
      </c>
      <c r="P110" s="12" t="n">
        <v>-80.4072591519122</v>
      </c>
      <c r="Q110" s="12" t="n">
        <f aca="false">2*Calculator!$C$5*M110</f>
        <v>7.657291275392</v>
      </c>
      <c r="R110" s="12" t="n">
        <f aca="false">O110-P110-Q110</f>
        <v>0.121673060519993</v>
      </c>
      <c r="S110" s="12" t="n">
        <f aca="false">O110+2*Calculator!$C$6*M110</f>
        <v>-70.0326028582402</v>
      </c>
      <c r="T110" s="12" t="n">
        <f aca="false">S110-2*Calculator!$B$6*M110</f>
        <v>-72.6282948160002</v>
      </c>
      <c r="U110" s="12" t="n">
        <f aca="false">2*Calculator!$B$5*M110</f>
        <v>7.657291275392</v>
      </c>
      <c r="V110" s="12" t="n">
        <f aca="false">R110*Calculator!$B$7/Calculator!$C$7</f>
        <v>0.121673060519993</v>
      </c>
      <c r="W110" s="14" t="n">
        <f aca="false">T110-U110-V110</f>
        <v>-80.4072591519122</v>
      </c>
      <c r="X110" s="7" t="str">
        <f aca="false">LEFT(A110,7)</f>
        <v>2026-04</v>
      </c>
    </row>
    <row r="111" customFormat="false" ht="15" hidden="false" customHeight="false" outlineLevel="0" collapsed="false">
      <c r="A111" s="7" t="s">
        <v>289</v>
      </c>
      <c r="B111" s="7" t="s">
        <v>203</v>
      </c>
      <c r="C111" s="7" t="s">
        <v>64</v>
      </c>
      <c r="D111" s="7" t="s">
        <v>59</v>
      </c>
      <c r="E111" s="7" t="s">
        <v>66</v>
      </c>
      <c r="F111" s="28" t="n">
        <v>46129.8125</v>
      </c>
      <c r="G111" s="29" t="n">
        <v>77309.65884</v>
      </c>
      <c r="H111" s="29" t="n">
        <v>76771.2701</v>
      </c>
      <c r="I111" s="28" t="n">
        <v>46129.8229166667</v>
      </c>
      <c r="J111" s="29" t="n">
        <v>77545.990514437</v>
      </c>
      <c r="K111" s="7" t="s">
        <v>69</v>
      </c>
      <c r="L111" s="30" t="n">
        <v>0.002</v>
      </c>
      <c r="M111" s="12" t="n">
        <f aca="false">L111*G111*Settings!$B$5</f>
        <v>13606.49995584</v>
      </c>
      <c r="N111" s="31" t="n">
        <f aca="false">(I111-F111)*24</f>
        <v>0.25</v>
      </c>
      <c r="O111" s="12" t="n">
        <v>43.1209040939607</v>
      </c>
      <c r="P111" s="12" t="n">
        <v>27.0227138337075</v>
      </c>
      <c r="Q111" s="12" t="n">
        <f aca="false">2*Calculator!$C$5*M111</f>
        <v>16.0556699478912</v>
      </c>
      <c r="R111" s="12" t="n">
        <f aca="false">O111-P111-Q111</f>
        <v>0.0425203123619866</v>
      </c>
      <c r="S111" s="12" t="n">
        <f aca="false">O111+2*Calculator!$C$6*M111</f>
        <v>48.5635040762966</v>
      </c>
      <c r="T111" s="12" t="n">
        <f aca="false">S111-2*Calculator!$B$6*M111</f>
        <v>43.1209040939607</v>
      </c>
      <c r="U111" s="12" t="n">
        <f aca="false">2*Calculator!$B$5*M111</f>
        <v>16.0556699478912</v>
      </c>
      <c r="V111" s="12" t="n">
        <f aca="false">R111*Calculator!$B$7/Calculator!$C$7</f>
        <v>0.0425203123619866</v>
      </c>
      <c r="W111" s="14" t="n">
        <f aca="false">T111-U111-V111</f>
        <v>27.0227138337075</v>
      </c>
      <c r="X111" s="7" t="str">
        <f aca="false">LEFT(A111,7)</f>
        <v>2026-04</v>
      </c>
    </row>
    <row r="112" customFormat="false" ht="15" hidden="false" customHeight="false" outlineLevel="0" collapsed="false">
      <c r="A112" s="7" t="s">
        <v>290</v>
      </c>
      <c r="B112" s="7" t="s">
        <v>205</v>
      </c>
      <c r="C112" s="7" t="s">
        <v>63</v>
      </c>
      <c r="D112" s="7" t="s">
        <v>60</v>
      </c>
      <c r="E112" s="7" t="s">
        <v>66</v>
      </c>
      <c r="F112" s="28" t="n">
        <v>46130.5625</v>
      </c>
      <c r="G112" s="29" t="n">
        <v>76966.3902</v>
      </c>
      <c r="H112" s="29" t="n">
        <v>76579.33525</v>
      </c>
      <c r="I112" s="28" t="n">
        <v>46130.5833333333</v>
      </c>
      <c r="J112" s="29" t="n">
        <v>76564.01938295</v>
      </c>
      <c r="K112" s="7" t="s">
        <v>70</v>
      </c>
      <c r="L112" s="30" t="n">
        <v>0.002</v>
      </c>
      <c r="M112" s="12" t="n">
        <f aca="false">L112*G112*Settings!$B$5</f>
        <v>13546.0846752</v>
      </c>
      <c r="N112" s="31" t="n">
        <f aca="false">(I112-F112)*24</f>
        <v>0.5</v>
      </c>
      <c r="O112" s="12" t="n">
        <v>-70.817263800798</v>
      </c>
      <c r="P112" s="12" t="n">
        <v>-86.886306746754</v>
      </c>
      <c r="Q112" s="12" t="n">
        <f aca="false">2*Calculator!$C$5*M112</f>
        <v>15.984379916736</v>
      </c>
      <c r="R112" s="12" t="n">
        <f aca="false">O112-P112-Q112</f>
        <v>0.0846630292200157</v>
      </c>
      <c r="S112" s="12" t="n">
        <f aca="false">O112+2*Calculator!$C$6*M112</f>
        <v>-65.398829930718</v>
      </c>
      <c r="T112" s="12" t="n">
        <f aca="false">S112-2*Calculator!$B$6*M112</f>
        <v>-70.817263800798</v>
      </c>
      <c r="U112" s="12" t="n">
        <f aca="false">2*Calculator!$B$5*M112</f>
        <v>15.984379916736</v>
      </c>
      <c r="V112" s="12" t="n">
        <f aca="false">R112*Calculator!$B$7/Calculator!$C$7</f>
        <v>0.0846630292200157</v>
      </c>
      <c r="W112" s="14" t="n">
        <f aca="false">T112-U112-V112</f>
        <v>-86.886306746754</v>
      </c>
      <c r="X112" s="7" t="str">
        <f aca="false">LEFT(A112,7)</f>
        <v>2026-04</v>
      </c>
    </row>
    <row r="113" customFormat="false" ht="15" hidden="false" customHeight="false" outlineLevel="0" collapsed="false">
      <c r="A113" s="7" t="s">
        <v>291</v>
      </c>
      <c r="B113" s="7" t="s">
        <v>209</v>
      </c>
      <c r="C113" s="7" t="s">
        <v>63</v>
      </c>
      <c r="D113" s="7" t="s">
        <v>60</v>
      </c>
      <c r="E113" s="7" t="s">
        <v>67</v>
      </c>
      <c r="F113" s="28" t="n">
        <v>46133.5625</v>
      </c>
      <c r="G113" s="29" t="n">
        <v>76034.79</v>
      </c>
      <c r="H113" s="29" t="n">
        <v>76615.6258</v>
      </c>
      <c r="I113" s="28" t="n">
        <v>46133.59375</v>
      </c>
      <c r="J113" s="29" t="n">
        <v>76630.94892516</v>
      </c>
      <c r="K113" s="7" t="s">
        <v>70</v>
      </c>
      <c r="L113" s="30" t="n">
        <v>0.001</v>
      </c>
      <c r="M113" s="12" t="n">
        <f aca="false">L113*G113*Settings!$B$5</f>
        <v>6691.06152</v>
      </c>
      <c r="N113" s="31" t="n">
        <f aca="false">(I113-F113)*24</f>
        <v>0.75</v>
      </c>
      <c r="O113" s="12" t="n">
        <v>-52.4619854140782</v>
      </c>
      <c r="P113" s="12" t="n">
        <v>-60.4201667094282</v>
      </c>
      <c r="Q113" s="12" t="n">
        <f aca="false">2*Calculator!$C$5*M113</f>
        <v>7.8954525936</v>
      </c>
      <c r="R113" s="12" t="n">
        <f aca="false">O113-P113-Q113</f>
        <v>0.0627287017500073</v>
      </c>
      <c r="S113" s="12" t="n">
        <f aca="false">O113+2*Calculator!$C$6*M113</f>
        <v>-49.7855608060782</v>
      </c>
      <c r="T113" s="12" t="n">
        <f aca="false">S113-2*Calculator!$B$6*M113</f>
        <v>-52.4619854140782</v>
      </c>
      <c r="U113" s="12" t="n">
        <f aca="false">2*Calculator!$B$5*M113</f>
        <v>7.8954525936</v>
      </c>
      <c r="V113" s="12" t="n">
        <f aca="false">R113*Calculator!$B$7/Calculator!$C$7</f>
        <v>0.0627287017500073</v>
      </c>
      <c r="W113" s="14" t="n">
        <f aca="false">T113-U113-V113</f>
        <v>-60.4201667094282</v>
      </c>
      <c r="X113" s="7" t="str">
        <f aca="false">LEFT(A113,7)</f>
        <v>2026-04</v>
      </c>
    </row>
    <row r="114" customFormat="false" ht="15" hidden="false" customHeight="false" outlineLevel="0" collapsed="false">
      <c r="A114" s="7" t="s">
        <v>291</v>
      </c>
      <c r="B114" s="7" t="s">
        <v>209</v>
      </c>
      <c r="C114" s="7" t="s">
        <v>64</v>
      </c>
      <c r="D114" s="7" t="s">
        <v>60</v>
      </c>
      <c r="E114" s="7" t="s">
        <v>66</v>
      </c>
      <c r="F114" s="28" t="n">
        <v>46133.8229166667</v>
      </c>
      <c r="G114" s="29" t="n">
        <v>75810.159</v>
      </c>
      <c r="H114" s="29" t="n">
        <v>75347.404</v>
      </c>
      <c r="I114" s="28" t="n">
        <v>46133.8229166667</v>
      </c>
      <c r="J114" s="29" t="n">
        <v>76174.97320775</v>
      </c>
      <c r="K114" s="7" t="s">
        <v>69</v>
      </c>
      <c r="L114" s="30" t="n">
        <v>0.002</v>
      </c>
      <c r="M114" s="12" t="n">
        <f aca="false">L114*G114*Settings!$B$5</f>
        <v>13342.587984</v>
      </c>
      <c r="N114" s="31" t="n">
        <f aca="false">(I114-F114)*24</f>
        <v>0</v>
      </c>
      <c r="O114" s="12" t="n">
        <v>51.1265392395988</v>
      </c>
      <c r="P114" s="12" t="n">
        <v>35.3822854184788</v>
      </c>
      <c r="Q114" s="12" t="n">
        <f aca="false">2*Calculator!$C$5*M114</f>
        <v>15.74425382112</v>
      </c>
      <c r="R114" s="12" t="n">
        <f aca="false">O114-P114-Q114</f>
        <v>0</v>
      </c>
      <c r="S114" s="12" t="n">
        <f aca="false">O114+2*Calculator!$C$6*M114</f>
        <v>56.4635744331988</v>
      </c>
      <c r="T114" s="12" t="n">
        <f aca="false">S114-2*Calculator!$B$6*M114</f>
        <v>51.1265392395988</v>
      </c>
      <c r="U114" s="12" t="n">
        <f aca="false">2*Calculator!$B$5*M114</f>
        <v>15.74425382112</v>
      </c>
      <c r="V114" s="12" t="n">
        <f aca="false">R114*Calculator!$B$7/Calculator!$C$7</f>
        <v>0</v>
      </c>
      <c r="W114" s="14" t="n">
        <f aca="false">T114-U114-V114</f>
        <v>35.3822854184788</v>
      </c>
      <c r="X114" s="7" t="str">
        <f aca="false">LEFT(A114,7)</f>
        <v>2026-04</v>
      </c>
    </row>
    <row r="115" customFormat="false" ht="15" hidden="false" customHeight="false" outlineLevel="0" collapsed="false">
      <c r="A115" s="7" t="s">
        <v>292</v>
      </c>
      <c r="B115" s="7" t="s">
        <v>199</v>
      </c>
      <c r="C115" s="7" t="s">
        <v>63</v>
      </c>
      <c r="D115" s="7" t="s">
        <v>60</v>
      </c>
      <c r="E115" s="7" t="s">
        <v>67</v>
      </c>
      <c r="F115" s="28" t="n">
        <v>46134.5625</v>
      </c>
      <c r="G115" s="29" t="n">
        <v>77964.10406</v>
      </c>
      <c r="H115" s="29" t="n">
        <v>78385.65525</v>
      </c>
      <c r="I115" s="28" t="n">
        <v>46134.7291666667</v>
      </c>
      <c r="J115" s="29" t="n">
        <v>78401.33238105</v>
      </c>
      <c r="K115" s="7" t="s">
        <v>70</v>
      </c>
      <c r="L115" s="30" t="n">
        <v>0.002</v>
      </c>
      <c r="M115" s="12" t="n">
        <f aca="false">L115*G115*Settings!$B$5</f>
        <v>13721.68231456</v>
      </c>
      <c r="N115" s="31" t="n">
        <f aca="false">(I115-F115)*24</f>
        <v>4</v>
      </c>
      <c r="O115" s="12" t="n">
        <v>-76.9521845048005</v>
      </c>
      <c r="P115" s="12" t="n">
        <v>-93.8298537517093</v>
      </c>
      <c r="Q115" s="12" t="n">
        <f aca="false">2*Calculator!$C$5*M115</f>
        <v>16.1915851311808</v>
      </c>
      <c r="R115" s="12" t="n">
        <f aca="false">O115-P115-Q115</f>
        <v>0.686084115727994</v>
      </c>
      <c r="S115" s="12" t="n">
        <f aca="false">O115+2*Calculator!$C$6*M115</f>
        <v>-71.4635115789765</v>
      </c>
      <c r="T115" s="12" t="n">
        <f aca="false">S115-2*Calculator!$B$6*M115</f>
        <v>-76.9521845048005</v>
      </c>
      <c r="U115" s="12" t="n">
        <f aca="false">2*Calculator!$B$5*M115</f>
        <v>16.1915851311808</v>
      </c>
      <c r="V115" s="12" t="n">
        <f aca="false">R115*Calculator!$B$7/Calculator!$C$7</f>
        <v>0.686084115727994</v>
      </c>
      <c r="W115" s="14" t="n">
        <f aca="false">T115-U115-V115</f>
        <v>-93.8298537517093</v>
      </c>
      <c r="X115" s="7" t="str">
        <f aca="false">LEFT(A115,7)</f>
        <v>2026-04</v>
      </c>
    </row>
    <row r="116" customFormat="false" ht="15" hidden="false" customHeight="false" outlineLevel="0" collapsed="false">
      <c r="A116" s="7" t="s">
        <v>293</v>
      </c>
      <c r="B116" s="7" t="s">
        <v>201</v>
      </c>
      <c r="C116" s="7" t="s">
        <v>63</v>
      </c>
      <c r="D116" s="7" t="s">
        <v>60</v>
      </c>
      <c r="E116" s="7" t="s">
        <v>66</v>
      </c>
      <c r="F116" s="28" t="n">
        <v>46135.5729166667</v>
      </c>
      <c r="G116" s="29" t="n">
        <v>78090.01488</v>
      </c>
      <c r="H116" s="29" t="n">
        <v>77640.6378</v>
      </c>
      <c r="I116" s="28" t="n">
        <v>46135.6041666667</v>
      </c>
      <c r="J116" s="29" t="n">
        <v>77625.10967244</v>
      </c>
      <c r="K116" s="7" t="s">
        <v>70</v>
      </c>
      <c r="L116" s="30" t="n">
        <v>0.002</v>
      </c>
      <c r="M116" s="12" t="n">
        <f aca="false">L116*G116*Settings!$B$5</f>
        <v>13743.84261888</v>
      </c>
      <c r="N116" s="31" t="n">
        <f aca="false">(I116-F116)*24</f>
        <v>0.75</v>
      </c>
      <c r="O116" s="12" t="n">
        <v>-81.8233165305557</v>
      </c>
      <c r="P116" s="12" t="n">
        <v>-98.1698993453861</v>
      </c>
      <c r="Q116" s="12" t="n">
        <f aca="false">2*Calculator!$C$5*M116</f>
        <v>16.2177342902784</v>
      </c>
      <c r="R116" s="12" t="n">
        <f aca="false">O116-P116-Q116</f>
        <v>0.128848524552001</v>
      </c>
      <c r="S116" s="12" t="n">
        <f aca="false">O116+2*Calculator!$C$6*M116</f>
        <v>-76.3257794830037</v>
      </c>
      <c r="T116" s="12" t="n">
        <f aca="false">S116-2*Calculator!$B$6*M116</f>
        <v>-81.8233165305557</v>
      </c>
      <c r="U116" s="12" t="n">
        <f aca="false">2*Calculator!$B$5*M116</f>
        <v>16.2177342902784</v>
      </c>
      <c r="V116" s="12" t="n">
        <f aca="false">R116*Calculator!$B$7/Calculator!$C$7</f>
        <v>0.128848524552001</v>
      </c>
      <c r="W116" s="14" t="n">
        <f aca="false">T116-U116-V116</f>
        <v>-98.1698993453861</v>
      </c>
      <c r="X116" s="7" t="str">
        <f aca="false">LEFT(A116,7)</f>
        <v>2026-04</v>
      </c>
    </row>
    <row r="117" customFormat="false" ht="15" hidden="false" customHeight="false" outlineLevel="0" collapsed="false">
      <c r="A117" s="7" t="s">
        <v>293</v>
      </c>
      <c r="B117" s="7" t="s">
        <v>201</v>
      </c>
      <c r="C117" s="7" t="s">
        <v>64</v>
      </c>
      <c r="D117" s="7" t="s">
        <v>60</v>
      </c>
      <c r="E117" s="7" t="s">
        <v>67</v>
      </c>
      <c r="F117" s="28" t="n">
        <v>46135.8125</v>
      </c>
      <c r="G117" s="29" t="n">
        <v>77471.10268</v>
      </c>
      <c r="H117" s="29" t="n">
        <v>77999.32455</v>
      </c>
      <c r="I117" s="28" t="n">
        <v>46135.84375</v>
      </c>
      <c r="J117" s="29" t="n">
        <v>78014.92441491</v>
      </c>
      <c r="K117" s="7" t="s">
        <v>70</v>
      </c>
      <c r="L117" s="30" t="n">
        <v>0.002</v>
      </c>
      <c r="M117" s="12" t="n">
        <f aca="false">L117*G117*Settings!$B$5</f>
        <v>13634.91407168</v>
      </c>
      <c r="N117" s="31" t="n">
        <f aca="false">(I117-F117)*24</f>
        <v>0.75</v>
      </c>
      <c r="O117" s="12" t="n">
        <v>-95.7126253441551</v>
      </c>
      <c r="P117" s="12" t="n">
        <v>-111.92965126816</v>
      </c>
      <c r="Q117" s="12" t="n">
        <f aca="false">2*Calculator!$C$5*M117</f>
        <v>16.0891986045824</v>
      </c>
      <c r="R117" s="12" t="n">
        <f aca="false">O117-P117-Q117</f>
        <v>0.127827319422085</v>
      </c>
      <c r="S117" s="12" t="n">
        <f aca="false">O117+2*Calculator!$C$6*M117</f>
        <v>-90.2586597154831</v>
      </c>
      <c r="T117" s="12" t="n">
        <f aca="false">S117-2*Calculator!$B$6*M117</f>
        <v>-95.7126253441551</v>
      </c>
      <c r="U117" s="12" t="n">
        <f aca="false">2*Calculator!$B$5*M117</f>
        <v>16.0891986045824</v>
      </c>
      <c r="V117" s="12" t="n">
        <f aca="false">R117*Calculator!$B$7/Calculator!$C$7</f>
        <v>0.127827319422085</v>
      </c>
      <c r="W117" s="14" t="n">
        <f aca="false">T117-U117-V117</f>
        <v>-111.92965126816</v>
      </c>
      <c r="X117" s="7" t="str">
        <f aca="false">LEFT(A117,7)</f>
        <v>2026-04</v>
      </c>
    </row>
    <row r="118" customFormat="false" ht="15" hidden="false" customHeight="false" outlineLevel="0" collapsed="false">
      <c r="A118" s="7" t="s">
        <v>294</v>
      </c>
      <c r="B118" s="7" t="s">
        <v>203</v>
      </c>
      <c r="C118" s="7" t="s">
        <v>63</v>
      </c>
      <c r="D118" s="7" t="s">
        <v>60</v>
      </c>
      <c r="E118" s="7" t="s">
        <v>67</v>
      </c>
      <c r="F118" s="28" t="n">
        <v>46136.5625</v>
      </c>
      <c r="G118" s="29" t="n">
        <v>77604.9759</v>
      </c>
      <c r="H118" s="29" t="n">
        <v>78049.75045</v>
      </c>
      <c r="I118" s="28" t="n">
        <v>46136.6041666667</v>
      </c>
      <c r="J118" s="29" t="n">
        <v>77482.4870362275</v>
      </c>
      <c r="K118" s="7" t="s">
        <v>69</v>
      </c>
      <c r="L118" s="30" t="n">
        <v>0.002</v>
      </c>
      <c r="M118" s="12" t="n">
        <f aca="false">L118*G118*Settings!$B$5</f>
        <v>13658.4757584</v>
      </c>
      <c r="N118" s="31" t="n">
        <f aca="false">(I118-F118)*24</f>
        <v>1</v>
      </c>
      <c r="O118" s="12" t="n">
        <v>28.9871666521801</v>
      </c>
      <c r="P118" s="12" t="n">
        <v>12.6994343102881</v>
      </c>
      <c r="Q118" s="12" t="n">
        <f aca="false">2*Calculator!$C$5*M118</f>
        <v>16.117001394912</v>
      </c>
      <c r="R118" s="12" t="n">
        <f aca="false">O118-P118-Q118</f>
        <v>0.170730946979997</v>
      </c>
      <c r="S118" s="12" t="n">
        <f aca="false">O118+2*Calculator!$C$6*M118</f>
        <v>34.4505569555401</v>
      </c>
      <c r="T118" s="12" t="n">
        <f aca="false">S118-2*Calculator!$B$6*M118</f>
        <v>28.9871666521801</v>
      </c>
      <c r="U118" s="12" t="n">
        <f aca="false">2*Calculator!$B$5*M118</f>
        <v>16.117001394912</v>
      </c>
      <c r="V118" s="12" t="n">
        <f aca="false">R118*Calculator!$B$7/Calculator!$C$7</f>
        <v>0.170730946979997</v>
      </c>
      <c r="W118" s="14" t="n">
        <f aca="false">T118-U118-V118</f>
        <v>12.6994343102881</v>
      </c>
      <c r="X118" s="7" t="str">
        <f aca="false">LEFT(A118,7)</f>
        <v>2026-04</v>
      </c>
    </row>
    <row r="119" customFormat="false" ht="15" hidden="false" customHeight="false" outlineLevel="0" collapsed="false">
      <c r="A119" s="7" t="s">
        <v>295</v>
      </c>
      <c r="B119" s="7" t="s">
        <v>207</v>
      </c>
      <c r="C119" s="7" t="s">
        <v>63</v>
      </c>
      <c r="D119" s="7" t="s">
        <v>59</v>
      </c>
      <c r="E119" s="7" t="s">
        <v>66</v>
      </c>
      <c r="F119" s="28" t="n">
        <v>46138.5625</v>
      </c>
      <c r="G119" s="29" t="n">
        <v>78077.1123</v>
      </c>
      <c r="H119" s="29" t="n">
        <v>77843.55925</v>
      </c>
      <c r="I119" s="28" t="n">
        <v>46138.7604166667</v>
      </c>
      <c r="J119" s="29" t="n">
        <v>77827.99053815</v>
      </c>
      <c r="K119" s="7" t="s">
        <v>70</v>
      </c>
      <c r="L119" s="30" t="n">
        <v>0.004</v>
      </c>
      <c r="M119" s="12" t="n">
        <f aca="false">L119*G119*Settings!$B$5</f>
        <v>27483.1435296</v>
      </c>
      <c r="N119" s="31" t="n">
        <f aca="false">(I119-F119)*24</f>
        <v>4.75</v>
      </c>
      <c r="O119" s="12" t="n">
        <v>-87.6908601711928</v>
      </c>
      <c r="P119" s="12" t="n">
        <v>-121.752781183191</v>
      </c>
      <c r="Q119" s="12" t="n">
        <f aca="false">2*Calculator!$C$5*M119</f>
        <v>32.430109364928</v>
      </c>
      <c r="R119" s="12" t="n">
        <f aca="false">O119-P119-Q119</f>
        <v>1.63181164707001</v>
      </c>
      <c r="S119" s="12" t="n">
        <f aca="false">O119+2*Calculator!$C$6*M119</f>
        <v>-76.6976027593528</v>
      </c>
      <c r="T119" s="12" t="n">
        <f aca="false">S119-2*Calculator!$B$6*M119</f>
        <v>-87.6908601711928</v>
      </c>
      <c r="U119" s="12" t="n">
        <f aca="false">2*Calculator!$B$5*M119</f>
        <v>32.430109364928</v>
      </c>
      <c r="V119" s="12" t="n">
        <f aca="false">R119*Calculator!$B$7/Calculator!$C$7</f>
        <v>1.63181164707001</v>
      </c>
      <c r="W119" s="14" t="n">
        <f aca="false">T119-U119-V119</f>
        <v>-121.752781183191</v>
      </c>
      <c r="X119" s="7" t="str">
        <f aca="false">LEFT(A119,7)</f>
        <v>2026-04</v>
      </c>
    </row>
    <row r="120" customFormat="false" ht="15" hidden="false" customHeight="false" outlineLevel="0" collapsed="false">
      <c r="A120" s="7" t="s">
        <v>295</v>
      </c>
      <c r="B120" s="7" t="s">
        <v>207</v>
      </c>
      <c r="C120" s="7" t="s">
        <v>64</v>
      </c>
      <c r="D120" s="7" t="s">
        <v>60</v>
      </c>
      <c r="E120" s="7" t="s">
        <v>66</v>
      </c>
      <c r="F120" s="28" t="n">
        <v>46138.8125</v>
      </c>
      <c r="G120" s="29" t="n">
        <v>77955.588</v>
      </c>
      <c r="H120" s="29" t="n">
        <v>77474.88705</v>
      </c>
      <c r="I120" s="28" t="n">
        <v>46138.9895833333</v>
      </c>
      <c r="J120" s="29" t="n">
        <v>78190.3835575475</v>
      </c>
      <c r="K120" s="7" t="s">
        <v>69</v>
      </c>
      <c r="L120" s="30" t="n">
        <v>0.002</v>
      </c>
      <c r="M120" s="12" t="n">
        <f aca="false">L120*G120*Settings!$B$5</f>
        <v>13720.183488</v>
      </c>
      <c r="N120" s="31" t="n">
        <f aca="false">(I120-F120)*24</f>
        <v>4.25</v>
      </c>
      <c r="O120" s="12" t="n">
        <v>40.4366023470198</v>
      </c>
      <c r="P120" s="12" t="n">
        <v>23.5179010833798</v>
      </c>
      <c r="Q120" s="12" t="n">
        <f aca="false">2*Calculator!$C$5*M120</f>
        <v>16.18981651584</v>
      </c>
      <c r="R120" s="12" t="n">
        <f aca="false">O120-P120-Q120</f>
        <v>0.728884747800009</v>
      </c>
      <c r="S120" s="12" t="n">
        <f aca="false">O120+2*Calculator!$C$6*M120</f>
        <v>45.9246757422198</v>
      </c>
      <c r="T120" s="12" t="n">
        <f aca="false">S120-2*Calculator!$B$6*M120</f>
        <v>40.4366023470198</v>
      </c>
      <c r="U120" s="12" t="n">
        <f aca="false">2*Calculator!$B$5*M120</f>
        <v>16.18981651584</v>
      </c>
      <c r="V120" s="12" t="n">
        <f aca="false">R120*Calculator!$B$7/Calculator!$C$7</f>
        <v>0.728884747800009</v>
      </c>
      <c r="W120" s="14" t="n">
        <f aca="false">T120-U120-V120</f>
        <v>23.5179010833798</v>
      </c>
      <c r="X120" s="7" t="str">
        <f aca="false">LEFT(A120,7)</f>
        <v>2026-04</v>
      </c>
    </row>
    <row r="121" customFormat="false" ht="15" hidden="false" customHeight="false" outlineLevel="0" collapsed="false">
      <c r="A121" s="7" t="s">
        <v>296</v>
      </c>
      <c r="B121" s="7" t="s">
        <v>213</v>
      </c>
      <c r="C121" s="7" t="s">
        <v>63</v>
      </c>
      <c r="D121" s="7" t="s">
        <v>60</v>
      </c>
      <c r="E121" s="7" t="s">
        <v>67</v>
      </c>
      <c r="F121" s="28" t="n">
        <v>46139.5625</v>
      </c>
      <c r="G121" s="29" t="n">
        <v>77541.18866</v>
      </c>
      <c r="H121" s="29" t="n">
        <v>77997.0142</v>
      </c>
      <c r="I121" s="28" t="n">
        <v>46139.78125</v>
      </c>
      <c r="J121" s="29" t="n">
        <v>77678.13252</v>
      </c>
      <c r="K121" s="7" t="s">
        <v>71</v>
      </c>
      <c r="L121" s="30" t="n">
        <v>0.002</v>
      </c>
      <c r="M121" s="12" t="n">
        <f aca="false">L121*G121*Settings!$B$5</f>
        <v>13647.24920416</v>
      </c>
      <c r="N121" s="31" t="n">
        <f aca="false">(I121-F121)*24</f>
        <v>5.25</v>
      </c>
      <c r="O121" s="12" t="n">
        <v>-24.1021193599999</v>
      </c>
      <c r="P121" s="12" t="n">
        <v>-41.1014741499317</v>
      </c>
      <c r="Q121" s="12" t="n">
        <f aca="false">2*Calculator!$C$5*M121</f>
        <v>16.1037540609088</v>
      </c>
      <c r="R121" s="12" t="n">
        <f aca="false">O121-P121-Q121</f>
        <v>0.895600729023006</v>
      </c>
      <c r="S121" s="12" t="n">
        <f aca="false">O121+2*Calculator!$C$6*M121</f>
        <v>-18.6432196783359</v>
      </c>
      <c r="T121" s="12" t="n">
        <f aca="false">S121-2*Calculator!$B$6*M121</f>
        <v>-24.1021193599999</v>
      </c>
      <c r="U121" s="12" t="n">
        <f aca="false">2*Calculator!$B$5*M121</f>
        <v>16.1037540609088</v>
      </c>
      <c r="V121" s="12" t="n">
        <f aca="false">R121*Calculator!$B$7/Calculator!$C$7</f>
        <v>0.895600729023006</v>
      </c>
      <c r="W121" s="14" t="n">
        <f aca="false">T121-U121-V121</f>
        <v>-41.1014741499317</v>
      </c>
      <c r="X121" s="7" t="str">
        <f aca="false">LEFT(A121,7)</f>
        <v>2026-04</v>
      </c>
    </row>
    <row r="122" customFormat="false" ht="15" hidden="false" customHeight="false" outlineLevel="0" collapsed="false">
      <c r="A122" s="7" t="s">
        <v>297</v>
      </c>
      <c r="B122" s="7" t="s">
        <v>209</v>
      </c>
      <c r="C122" s="7" t="s">
        <v>63</v>
      </c>
      <c r="D122" s="7" t="s">
        <v>60</v>
      </c>
      <c r="E122" s="7" t="s">
        <v>67</v>
      </c>
      <c r="F122" s="28" t="n">
        <v>46140.5729166667</v>
      </c>
      <c r="G122" s="29" t="n">
        <v>76782.04052</v>
      </c>
      <c r="H122" s="29" t="n">
        <v>77192.0079</v>
      </c>
      <c r="I122" s="28" t="n">
        <v>46140.6354166667</v>
      </c>
      <c r="J122" s="29" t="n">
        <v>76560.800943369</v>
      </c>
      <c r="K122" s="7" t="s">
        <v>69</v>
      </c>
      <c r="L122" s="30" t="n">
        <v>0.002</v>
      </c>
      <c r="M122" s="12" t="n">
        <f aca="false">L122*G122*Settings!$B$5</f>
        <v>13513.63913152</v>
      </c>
      <c r="N122" s="31" t="n">
        <f aca="false">(I122-F122)*24</f>
        <v>1.5</v>
      </c>
      <c r="O122" s="12" t="n">
        <v>36.1598912633202</v>
      </c>
      <c r="P122" s="12" t="n">
        <v>19.9604163544106</v>
      </c>
      <c r="Q122" s="12" t="n">
        <f aca="false">2*Calculator!$C$5*M122</f>
        <v>15.9460941751936</v>
      </c>
      <c r="R122" s="12" t="n">
        <f aca="false">O122-P122-Q122</f>
        <v>0.253380733716003</v>
      </c>
      <c r="S122" s="12" t="n">
        <f aca="false">O122+2*Calculator!$C$6*M122</f>
        <v>41.5653469159282</v>
      </c>
      <c r="T122" s="12" t="n">
        <f aca="false">S122-2*Calculator!$B$6*M122</f>
        <v>36.1598912633202</v>
      </c>
      <c r="U122" s="12" t="n">
        <f aca="false">2*Calculator!$B$5*M122</f>
        <v>15.9460941751936</v>
      </c>
      <c r="V122" s="12" t="n">
        <f aca="false">R122*Calculator!$B$7/Calculator!$C$7</f>
        <v>0.253380733716003</v>
      </c>
      <c r="W122" s="14" t="n">
        <f aca="false">T122-U122-V122</f>
        <v>19.9604163544106</v>
      </c>
      <c r="X122" s="7" t="str">
        <f aca="false">LEFT(A122,7)</f>
        <v>2026-04</v>
      </c>
    </row>
    <row r="123" customFormat="false" ht="15" hidden="false" customHeight="false" outlineLevel="0" collapsed="false">
      <c r="A123" s="7" t="s">
        <v>297</v>
      </c>
      <c r="B123" s="7" t="s">
        <v>209</v>
      </c>
      <c r="C123" s="7" t="s">
        <v>64</v>
      </c>
      <c r="D123" s="7" t="s">
        <v>60</v>
      </c>
      <c r="E123" s="7" t="s">
        <v>67</v>
      </c>
      <c r="F123" s="28" t="n">
        <v>46140.8125</v>
      </c>
      <c r="G123" s="29" t="n">
        <v>76143.16832</v>
      </c>
      <c r="H123" s="29" t="n">
        <v>76682.02325</v>
      </c>
      <c r="I123" s="28" t="n">
        <v>46140.8333333333</v>
      </c>
      <c r="J123" s="29" t="n">
        <v>75884.8876752465</v>
      </c>
      <c r="K123" s="7" t="s">
        <v>69</v>
      </c>
      <c r="L123" s="30" t="n">
        <v>0.002</v>
      </c>
      <c r="M123" s="12" t="n">
        <f aca="false">L123*G123*Settings!$B$5</f>
        <v>13401.19762432</v>
      </c>
      <c r="N123" s="31" t="n">
        <f aca="false">(I123-F123)*24</f>
        <v>0.5</v>
      </c>
      <c r="O123" s="12" t="n">
        <v>45.1029358192594</v>
      </c>
      <c r="P123" s="12" t="n">
        <v>29.2267045086978</v>
      </c>
      <c r="Q123" s="12" t="n">
        <f aca="false">2*Calculator!$C$5*M123</f>
        <v>15.8134131966976</v>
      </c>
      <c r="R123" s="12" t="n">
        <f aca="false">O123-P123-Q123</f>
        <v>0.0628181138640134</v>
      </c>
      <c r="S123" s="12" t="n">
        <f aca="false">O123+2*Calculator!$C$6*M123</f>
        <v>50.4634148689874</v>
      </c>
      <c r="T123" s="12" t="n">
        <f aca="false">S123-2*Calculator!$B$6*M123</f>
        <v>45.1029358192594</v>
      </c>
      <c r="U123" s="12" t="n">
        <f aca="false">2*Calculator!$B$5*M123</f>
        <v>15.8134131966976</v>
      </c>
      <c r="V123" s="12" t="n">
        <f aca="false">R123*Calculator!$B$7/Calculator!$C$7</f>
        <v>0.0628181138640134</v>
      </c>
      <c r="W123" s="14" t="n">
        <f aca="false">T123-U123-V123</f>
        <v>29.2267045086978</v>
      </c>
      <c r="X123" s="7" t="str">
        <f aca="false">LEFT(A123,7)</f>
        <v>2026-04</v>
      </c>
    </row>
    <row r="124" customFormat="false" ht="15" hidden="false" customHeight="false" outlineLevel="0" collapsed="false">
      <c r="A124" s="7" t="s">
        <v>298</v>
      </c>
      <c r="B124" s="7" t="s">
        <v>199</v>
      </c>
      <c r="C124" s="7" t="s">
        <v>64</v>
      </c>
      <c r="D124" s="7" t="s">
        <v>60</v>
      </c>
      <c r="E124" s="7" t="s">
        <v>66</v>
      </c>
      <c r="F124" s="28" t="n">
        <v>46141.8125</v>
      </c>
      <c r="G124" s="29" t="n">
        <v>76763.94972</v>
      </c>
      <c r="H124" s="29" t="n">
        <v>76185.51545</v>
      </c>
      <c r="I124" s="28" t="n">
        <v>46141.8541666667</v>
      </c>
      <c r="J124" s="29" t="n">
        <v>76170.27834691</v>
      </c>
      <c r="K124" s="7" t="s">
        <v>70</v>
      </c>
      <c r="L124" s="30" t="n">
        <v>0.001</v>
      </c>
      <c r="M124" s="12" t="n">
        <f aca="false">L124*G124*Settings!$B$5</f>
        <v>6755.22757536</v>
      </c>
      <c r="N124" s="31" t="n">
        <f aca="false">(I124-F124)*24</f>
        <v>1</v>
      </c>
      <c r="O124" s="12" t="n">
        <v>-52.2430808319207</v>
      </c>
      <c r="P124" s="12" t="n">
        <v>-60.2986897155375</v>
      </c>
      <c r="Q124" s="12" t="n">
        <f aca="false">2*Calculator!$C$5*M124</f>
        <v>7.9711685389248</v>
      </c>
      <c r="R124" s="12" t="n">
        <f aca="false">O124-P124-Q124</f>
        <v>0.0844403446919984</v>
      </c>
      <c r="S124" s="12" t="n">
        <f aca="false">O124+2*Calculator!$C$6*M124</f>
        <v>-49.5409898017767</v>
      </c>
      <c r="T124" s="12" t="n">
        <f aca="false">S124-2*Calculator!$B$6*M124</f>
        <v>-52.2430808319207</v>
      </c>
      <c r="U124" s="12" t="n">
        <f aca="false">2*Calculator!$B$5*M124</f>
        <v>7.9711685389248</v>
      </c>
      <c r="V124" s="12" t="n">
        <f aca="false">R124*Calculator!$B$7/Calculator!$C$7</f>
        <v>0.0844403446919984</v>
      </c>
      <c r="W124" s="14" t="n">
        <f aca="false">T124-U124-V124</f>
        <v>-60.2986897155375</v>
      </c>
      <c r="X124" s="7" t="str">
        <f aca="false">LEFT(A124,7)</f>
        <v>2026-04</v>
      </c>
    </row>
    <row r="125" customFormat="false" ht="15" hidden="false" customHeight="false" outlineLevel="0" collapsed="false">
      <c r="A125" s="7" t="s">
        <v>299</v>
      </c>
      <c r="B125" s="7" t="s">
        <v>201</v>
      </c>
      <c r="C125" s="7" t="s">
        <v>63</v>
      </c>
      <c r="D125" s="7" t="s">
        <v>59</v>
      </c>
      <c r="E125" s="7" t="s">
        <v>66</v>
      </c>
      <c r="F125" s="28" t="n">
        <v>46142.5625</v>
      </c>
      <c r="G125" s="29" t="n">
        <v>76145.12598</v>
      </c>
      <c r="H125" s="29" t="n">
        <v>75933.7283</v>
      </c>
      <c r="I125" s="28" t="n">
        <v>46142.625</v>
      </c>
      <c r="J125" s="29" t="n">
        <v>76264.494629884</v>
      </c>
      <c r="K125" s="7" t="s">
        <v>69</v>
      </c>
      <c r="L125" s="30" t="n">
        <v>0.005</v>
      </c>
      <c r="M125" s="12" t="n">
        <f aca="false">L125*G125*Settings!$B$5</f>
        <v>33503.8554312</v>
      </c>
      <c r="N125" s="31" t="n">
        <f aca="false">(I125-F125)*24</f>
        <v>1.5</v>
      </c>
      <c r="O125" s="12" t="n">
        <v>47.4322903757137</v>
      </c>
      <c r="P125" s="12" t="n">
        <v>7.26954367756272</v>
      </c>
      <c r="Q125" s="12" t="n">
        <f aca="false">2*Calculator!$C$5*M125</f>
        <v>39.534549408816</v>
      </c>
      <c r="R125" s="12" t="n">
        <f aca="false">O125-P125-Q125</f>
        <v>0.628197289335006</v>
      </c>
      <c r="S125" s="12" t="n">
        <f aca="false">O125+2*Calculator!$C$6*M125</f>
        <v>60.8338325481937</v>
      </c>
      <c r="T125" s="12" t="n">
        <f aca="false">S125-2*Calculator!$B$6*M125</f>
        <v>47.4322903757137</v>
      </c>
      <c r="U125" s="12" t="n">
        <f aca="false">2*Calculator!$B$5*M125</f>
        <v>39.534549408816</v>
      </c>
      <c r="V125" s="12" t="n">
        <f aca="false">R125*Calculator!$B$7/Calculator!$C$7</f>
        <v>0.628197289335006</v>
      </c>
      <c r="W125" s="14" t="n">
        <f aca="false">T125-U125-V125</f>
        <v>7.26954367756272</v>
      </c>
      <c r="X125" s="7" t="str">
        <f aca="false">LEFT(A125,7)</f>
        <v>2026-04</v>
      </c>
    </row>
    <row r="126" customFormat="false" ht="15" hidden="false" customHeight="false" outlineLevel="0" collapsed="false">
      <c r="A126" s="7" t="s">
        <v>299</v>
      </c>
      <c r="B126" s="7" t="s">
        <v>201</v>
      </c>
      <c r="C126" s="7" t="s">
        <v>64</v>
      </c>
      <c r="D126" s="7" t="s">
        <v>60</v>
      </c>
      <c r="E126" s="7" t="s">
        <v>67</v>
      </c>
      <c r="F126" s="28" t="n">
        <v>46142.8125</v>
      </c>
      <c r="G126" s="29" t="n">
        <v>76355.12592</v>
      </c>
      <c r="H126" s="29" t="n">
        <v>76944.59955</v>
      </c>
      <c r="I126" s="28" t="n">
        <v>46142.8229166667</v>
      </c>
      <c r="J126" s="29" t="n">
        <v>76207.3068211815</v>
      </c>
      <c r="K126" s="7" t="s">
        <v>69</v>
      </c>
      <c r="L126" s="30" t="n">
        <v>0.001</v>
      </c>
      <c r="M126" s="12" t="n">
        <f aca="false">L126*G126*Settings!$B$5</f>
        <v>6719.25108096</v>
      </c>
      <c r="N126" s="31" t="n">
        <f aca="false">(I126-F126)*24</f>
        <v>0.25</v>
      </c>
      <c r="O126" s="12" t="n">
        <v>13.0080806960288</v>
      </c>
      <c r="P126" s="12" t="n">
        <v>5.05836676086797</v>
      </c>
      <c r="Q126" s="12" t="n">
        <f aca="false">2*Calculator!$C$5*M126</f>
        <v>7.9287162755328</v>
      </c>
      <c r="R126" s="12" t="n">
        <f aca="false">O126-P126-Q126</f>
        <v>0.020997659627997</v>
      </c>
      <c r="S126" s="12" t="n">
        <f aca="false">O126+2*Calculator!$C$6*M126</f>
        <v>15.6957811284128</v>
      </c>
      <c r="T126" s="12" t="n">
        <f aca="false">S126-2*Calculator!$B$6*M126</f>
        <v>13.0080806960288</v>
      </c>
      <c r="U126" s="12" t="n">
        <f aca="false">2*Calculator!$B$5*M126</f>
        <v>7.9287162755328</v>
      </c>
      <c r="V126" s="12" t="n">
        <f aca="false">R126*Calculator!$B$7/Calculator!$C$7</f>
        <v>0.020997659627997</v>
      </c>
      <c r="W126" s="14" t="n">
        <f aca="false">T126-U126-V126</f>
        <v>5.05836676086797</v>
      </c>
      <c r="X126" s="7" t="str">
        <f aca="false">LEFT(A126,7)</f>
        <v>2026-04</v>
      </c>
    </row>
    <row r="127" customFormat="false" ht="15" hidden="false" customHeight="false" outlineLevel="0" collapsed="false">
      <c r="A127" s="7" t="s">
        <v>300</v>
      </c>
      <c r="B127" s="7" t="s">
        <v>203</v>
      </c>
      <c r="C127" s="7" t="s">
        <v>63</v>
      </c>
      <c r="D127" s="7" t="s">
        <v>59</v>
      </c>
      <c r="E127" s="7" t="s">
        <v>66</v>
      </c>
      <c r="F127" s="28" t="n">
        <v>46143.5625</v>
      </c>
      <c r="G127" s="29" t="n">
        <v>77115.31998</v>
      </c>
      <c r="H127" s="29" t="n">
        <v>76904.47</v>
      </c>
      <c r="I127" s="28" t="n">
        <v>46143.5729166667</v>
      </c>
      <c r="J127" s="29" t="n">
        <v>77411.802047499</v>
      </c>
      <c r="K127" s="7" t="s">
        <v>69</v>
      </c>
      <c r="L127" s="30" t="n">
        <v>0.005</v>
      </c>
      <c r="M127" s="12" t="n">
        <f aca="false">L127*G127*Settings!$B$5</f>
        <v>33930.7407912</v>
      </c>
      <c r="N127" s="31" t="n">
        <f aca="false">(I127-F127)*24</f>
        <v>0.25</v>
      </c>
      <c r="O127" s="12" t="n">
        <v>94.1078938367956</v>
      </c>
      <c r="P127" s="12" t="n">
        <v>54.0059995641961</v>
      </c>
      <c r="Q127" s="12" t="n">
        <f aca="false">2*Calculator!$C$5*M127</f>
        <v>40.038274133616</v>
      </c>
      <c r="R127" s="12" t="n">
        <f aca="false">O127-P127-Q127</f>
        <v>0.063620138983481</v>
      </c>
      <c r="S127" s="12" t="n">
        <f aca="false">O127+2*Calculator!$C$6*M127</f>
        <v>107.680190153276</v>
      </c>
      <c r="T127" s="12" t="n">
        <f aca="false">S127-2*Calculator!$B$6*M127</f>
        <v>94.1078938367956</v>
      </c>
      <c r="U127" s="12" t="n">
        <f aca="false">2*Calculator!$B$5*M127</f>
        <v>40.038274133616</v>
      </c>
      <c r="V127" s="12" t="n">
        <f aca="false">R127*Calculator!$B$7/Calculator!$C$7</f>
        <v>0.063620138983481</v>
      </c>
      <c r="W127" s="14" t="n">
        <f aca="false">T127-U127-V127</f>
        <v>54.0059995641961</v>
      </c>
      <c r="X127" s="7" t="str">
        <f aca="false">LEFT(A127,7)</f>
        <v>2026-05</v>
      </c>
    </row>
    <row r="128" customFormat="false" ht="15" hidden="false" customHeight="false" outlineLevel="0" collapsed="false">
      <c r="A128" s="7" t="s">
        <v>301</v>
      </c>
      <c r="B128" s="7" t="s">
        <v>205</v>
      </c>
      <c r="C128" s="7" t="s">
        <v>63</v>
      </c>
      <c r="D128" s="7" t="s">
        <v>60</v>
      </c>
      <c r="E128" s="7" t="s">
        <v>66</v>
      </c>
      <c r="F128" s="28" t="n">
        <v>46144.5729166667</v>
      </c>
      <c r="G128" s="29" t="n">
        <v>78233.6436</v>
      </c>
      <c r="H128" s="29" t="n">
        <v>77822.217</v>
      </c>
      <c r="I128" s="28" t="n">
        <v>46144.78125</v>
      </c>
      <c r="J128" s="29" t="n">
        <v>78335.02986</v>
      </c>
      <c r="K128" s="7" t="s">
        <v>71</v>
      </c>
      <c r="L128" s="30" t="n">
        <v>0.002</v>
      </c>
      <c r="M128" s="12" t="n">
        <f aca="false">L128*G128*Settings!$B$5</f>
        <v>13769.1212736</v>
      </c>
      <c r="N128" s="31" t="n">
        <f aca="false">(I128-F128)*24</f>
        <v>5</v>
      </c>
      <c r="O128" s="12" t="n">
        <v>17.8439817599999</v>
      </c>
      <c r="P128" s="12" t="n">
        <v>0.735848577551878</v>
      </c>
      <c r="Q128" s="12" t="n">
        <f aca="false">2*Calculator!$C$5*M128</f>
        <v>16.247563102848</v>
      </c>
      <c r="R128" s="12" t="n">
        <f aca="false">O128-P128-Q128</f>
        <v>0.860570079600006</v>
      </c>
      <c r="S128" s="12" t="n">
        <f aca="false">O128+2*Calculator!$C$6*M128</f>
        <v>23.3516302694399</v>
      </c>
      <c r="T128" s="12" t="n">
        <f aca="false">S128-2*Calculator!$B$6*M128</f>
        <v>17.8439817599999</v>
      </c>
      <c r="U128" s="12" t="n">
        <f aca="false">2*Calculator!$B$5*M128</f>
        <v>16.247563102848</v>
      </c>
      <c r="V128" s="12" t="n">
        <f aca="false">R128*Calculator!$B$7/Calculator!$C$7</f>
        <v>0.860570079600006</v>
      </c>
      <c r="W128" s="14" t="n">
        <f aca="false">T128-U128-V128</f>
        <v>0.735848577551877</v>
      </c>
      <c r="X128" s="7" t="str">
        <f aca="false">LEFT(A128,7)</f>
        <v>2026-05</v>
      </c>
    </row>
    <row r="129" customFormat="false" ht="15" hidden="false" customHeight="false" outlineLevel="0" collapsed="false">
      <c r="A129" s="7" t="s">
        <v>302</v>
      </c>
      <c r="B129" s="7" t="s">
        <v>213</v>
      </c>
      <c r="C129" s="7" t="s">
        <v>63</v>
      </c>
      <c r="D129" s="7" t="s">
        <v>60</v>
      </c>
      <c r="E129" s="7" t="s">
        <v>67</v>
      </c>
      <c r="F129" s="28" t="n">
        <v>46146.5625</v>
      </c>
      <c r="G129" s="29" t="n">
        <v>79647.46732</v>
      </c>
      <c r="H129" s="29" t="n">
        <v>80194.4584</v>
      </c>
      <c r="I129" s="28" t="n">
        <v>46146.6458333333</v>
      </c>
      <c r="J129" s="29" t="n">
        <v>78702.485119554</v>
      </c>
      <c r="K129" s="7" t="s">
        <v>69</v>
      </c>
      <c r="L129" s="30" t="n">
        <v>0.002</v>
      </c>
      <c r="M129" s="12" t="n">
        <f aca="false">L129*G129*Settings!$B$5</f>
        <v>14017.95424832</v>
      </c>
      <c r="N129" s="31" t="n">
        <f aca="false">(I129-F129)*24</f>
        <v>2</v>
      </c>
      <c r="O129" s="12" t="n">
        <v>105.82905925592</v>
      </c>
      <c r="P129" s="12" t="n">
        <v>88.9374243866946</v>
      </c>
      <c r="Q129" s="12" t="n">
        <f aca="false">2*Calculator!$C$5*M129</f>
        <v>16.5411860130176</v>
      </c>
      <c r="R129" s="12" t="n">
        <f aca="false">O129-P129-Q129</f>
        <v>0.350448856207969</v>
      </c>
      <c r="S129" s="12" t="n">
        <f aca="false">O129+2*Calculator!$C$6*M129</f>
        <v>111.436240955248</v>
      </c>
      <c r="T129" s="12" t="n">
        <f aca="false">S129-2*Calculator!$B$6*M129</f>
        <v>105.82905925592</v>
      </c>
      <c r="U129" s="12" t="n">
        <f aca="false">2*Calculator!$B$5*M129</f>
        <v>16.5411860130176</v>
      </c>
      <c r="V129" s="12" t="n">
        <f aca="false">R129*Calculator!$B$7/Calculator!$C$7</f>
        <v>0.350448856207969</v>
      </c>
      <c r="W129" s="14" t="n">
        <f aca="false">T129-U129-V129</f>
        <v>88.9374243866946</v>
      </c>
      <c r="X129" s="7" t="str">
        <f aca="false">LEFT(A129,7)</f>
        <v>2026-05</v>
      </c>
    </row>
    <row r="130" customFormat="false" ht="15" hidden="false" customHeight="false" outlineLevel="0" collapsed="false">
      <c r="A130" s="7" t="s">
        <v>303</v>
      </c>
      <c r="B130" s="7" t="s">
        <v>209</v>
      </c>
      <c r="C130" s="7" t="s">
        <v>63</v>
      </c>
      <c r="D130" s="7" t="s">
        <v>59</v>
      </c>
      <c r="E130" s="7" t="s">
        <v>67</v>
      </c>
      <c r="F130" s="28" t="n">
        <v>46147.5625</v>
      </c>
      <c r="G130" s="29" t="n">
        <v>80799.63684</v>
      </c>
      <c r="H130" s="29" t="n">
        <v>81092.35635</v>
      </c>
      <c r="I130" s="28" t="n">
        <v>46147.625</v>
      </c>
      <c r="J130" s="29" t="n">
        <v>80646.4059334755</v>
      </c>
      <c r="K130" s="7" t="s">
        <v>69</v>
      </c>
      <c r="L130" s="30" t="n">
        <v>0.003</v>
      </c>
      <c r="M130" s="12" t="n">
        <f aca="false">L130*G130*Settings!$B$5</f>
        <v>21331.10412576</v>
      </c>
      <c r="N130" s="31" t="n">
        <f aca="false">(I130-F130)*24</f>
        <v>1.5</v>
      </c>
      <c r="O130" s="12" t="n">
        <v>38.4288003116169</v>
      </c>
      <c r="P130" s="12" t="n">
        <v>12.9025790411241</v>
      </c>
      <c r="Q130" s="12" t="n">
        <f aca="false">2*Calculator!$C$5*M130</f>
        <v>25.1707028683968</v>
      </c>
      <c r="R130" s="12" t="n">
        <f aca="false">O130-P130-Q130</f>
        <v>0.35551840209601</v>
      </c>
      <c r="S130" s="12" t="n">
        <f aca="false">O130+2*Calculator!$C$6*M130</f>
        <v>46.9612419619209</v>
      </c>
      <c r="T130" s="12" t="n">
        <f aca="false">S130-2*Calculator!$B$6*M130</f>
        <v>38.4288003116169</v>
      </c>
      <c r="U130" s="12" t="n">
        <f aca="false">2*Calculator!$B$5*M130</f>
        <v>25.1707028683968</v>
      </c>
      <c r="V130" s="12" t="n">
        <f aca="false">R130*Calculator!$B$7/Calculator!$C$7</f>
        <v>0.35551840209601</v>
      </c>
      <c r="W130" s="14" t="n">
        <f aca="false">T130-U130-V130</f>
        <v>12.9025790411241</v>
      </c>
      <c r="X130" s="7" t="str">
        <f aca="false">LEFT(A130,7)</f>
        <v>2026-05</v>
      </c>
    </row>
    <row r="131" customFormat="false" ht="15" hidden="false" customHeight="false" outlineLevel="0" collapsed="false">
      <c r="A131" s="7" t="s">
        <v>303</v>
      </c>
      <c r="B131" s="7" t="s">
        <v>209</v>
      </c>
      <c r="C131" s="7" t="s">
        <v>64</v>
      </c>
      <c r="D131" s="7" t="s">
        <v>60</v>
      </c>
      <c r="E131" s="7" t="s">
        <v>67</v>
      </c>
      <c r="F131" s="28" t="n">
        <v>46147.8125</v>
      </c>
      <c r="G131" s="29" t="n">
        <v>81262.04434</v>
      </c>
      <c r="H131" s="29" t="n">
        <v>81859.3167</v>
      </c>
      <c r="I131" s="28" t="n">
        <v>46147.8229166667</v>
      </c>
      <c r="J131" s="29" t="n">
        <v>81055.525953618</v>
      </c>
      <c r="K131" s="7" t="s">
        <v>69</v>
      </c>
      <c r="L131" s="30" t="n">
        <v>0.001</v>
      </c>
      <c r="M131" s="12" t="n">
        <f aca="false">L131*G131*Settings!$B$5</f>
        <v>7151.05990192</v>
      </c>
      <c r="N131" s="31" t="n">
        <f aca="false">(I131-F131)*24</f>
        <v>0.25</v>
      </c>
      <c r="O131" s="12" t="n">
        <v>18.1736180016171</v>
      </c>
      <c r="P131" s="12" t="n">
        <v>9.71302025515804</v>
      </c>
      <c r="Q131" s="12" t="n">
        <f aca="false">2*Calculator!$C$5*M131</f>
        <v>8.4382506842656</v>
      </c>
      <c r="R131" s="12" t="n">
        <f aca="false">O131-P131-Q131</f>
        <v>0.0223470621935036</v>
      </c>
      <c r="S131" s="12" t="n">
        <f aca="false">O131+2*Calculator!$C$6*M131</f>
        <v>21.0340419623851</v>
      </c>
      <c r="T131" s="12" t="n">
        <f aca="false">S131-2*Calculator!$B$6*M131</f>
        <v>18.1736180016171</v>
      </c>
      <c r="U131" s="12" t="n">
        <f aca="false">2*Calculator!$B$5*M131</f>
        <v>8.4382506842656</v>
      </c>
      <c r="V131" s="12" t="n">
        <f aca="false">R131*Calculator!$B$7/Calculator!$C$7</f>
        <v>0.0223470621935036</v>
      </c>
      <c r="W131" s="14" t="n">
        <f aca="false">T131-U131-V131</f>
        <v>9.71302025515804</v>
      </c>
      <c r="X131" s="7" t="str">
        <f aca="false">LEFT(A131,7)</f>
        <v>2026-05</v>
      </c>
    </row>
    <row r="132" customFormat="false" ht="15" hidden="false" customHeight="false" outlineLevel="0" collapsed="false">
      <c r="A132" s="7" t="s">
        <v>304</v>
      </c>
      <c r="B132" s="7" t="s">
        <v>203</v>
      </c>
      <c r="C132" s="7" t="s">
        <v>64</v>
      </c>
      <c r="D132" s="7" t="s">
        <v>60</v>
      </c>
      <c r="E132" s="7" t="s">
        <v>66</v>
      </c>
      <c r="F132" s="28" t="n">
        <v>46150.8125</v>
      </c>
      <c r="G132" s="29" t="n">
        <v>79628.22246</v>
      </c>
      <c r="H132" s="29" t="n">
        <v>79166.3411</v>
      </c>
      <c r="I132" s="28" t="n">
        <v>46150.8229166667</v>
      </c>
      <c r="J132" s="29" t="n">
        <v>80292.867874068</v>
      </c>
      <c r="K132" s="7" t="s">
        <v>69</v>
      </c>
      <c r="L132" s="30" t="n">
        <v>0.002</v>
      </c>
      <c r="M132" s="12" t="n">
        <f aca="false">L132*G132*Settings!$B$5</f>
        <v>14014.56715296</v>
      </c>
      <c r="N132" s="31" t="n">
        <f aca="false">(I132-F132)*24</f>
        <v>0.25</v>
      </c>
      <c r="O132" s="12" t="n">
        <v>77.4060550067188</v>
      </c>
      <c r="P132" s="12" t="n">
        <v>60.8469680050496</v>
      </c>
      <c r="Q132" s="12" t="n">
        <f aca="false">2*Calculator!$C$5*M132</f>
        <v>16.5371892404928</v>
      </c>
      <c r="R132" s="12" t="n">
        <f aca="false">O132-P132-Q132</f>
        <v>0.021897761176497</v>
      </c>
      <c r="S132" s="12" t="n">
        <f aca="false">O132+2*Calculator!$C$6*M132</f>
        <v>83.0118818679028</v>
      </c>
      <c r="T132" s="12" t="n">
        <f aca="false">S132-2*Calculator!$B$6*M132</f>
        <v>77.4060550067188</v>
      </c>
      <c r="U132" s="12" t="n">
        <f aca="false">2*Calculator!$B$5*M132</f>
        <v>16.5371892404928</v>
      </c>
      <c r="V132" s="12" t="n">
        <f aca="false">R132*Calculator!$B$7/Calculator!$C$7</f>
        <v>0.021897761176497</v>
      </c>
      <c r="W132" s="14" t="n">
        <f aca="false">T132-U132-V132</f>
        <v>60.8469680050496</v>
      </c>
      <c r="X132" s="7" t="str">
        <f aca="false">LEFT(A132,7)</f>
        <v>2026-05</v>
      </c>
    </row>
    <row r="133" customFormat="false" ht="15" hidden="false" customHeight="false" outlineLevel="0" collapsed="false">
      <c r="A133" s="7" t="s">
        <v>305</v>
      </c>
      <c r="B133" s="7" t="s">
        <v>205</v>
      </c>
      <c r="C133" s="7" t="s">
        <v>63</v>
      </c>
      <c r="D133" s="7" t="s">
        <v>60</v>
      </c>
      <c r="E133" s="7" t="s">
        <v>66</v>
      </c>
      <c r="F133" s="28" t="n">
        <v>46151.5625</v>
      </c>
      <c r="G133" s="29" t="n">
        <v>80197.63632</v>
      </c>
      <c r="H133" s="29" t="n">
        <v>79781.9583</v>
      </c>
      <c r="I133" s="28" t="n">
        <v>46151.6041666667</v>
      </c>
      <c r="J133" s="29" t="n">
        <v>80302.316818901</v>
      </c>
      <c r="K133" s="7" t="s">
        <v>69</v>
      </c>
      <c r="L133" s="30" t="n">
        <v>0.002</v>
      </c>
      <c r="M133" s="12" t="n">
        <f aca="false">L133*G133*Settings!$B$5</f>
        <v>14114.78399232</v>
      </c>
      <c r="N133" s="31" t="n">
        <f aca="false">(I133-F133)*24</f>
        <v>1</v>
      </c>
      <c r="O133" s="12" t="n">
        <v>26.08658041748</v>
      </c>
      <c r="P133" s="12" t="n">
        <v>9.29880920661437</v>
      </c>
      <c r="Q133" s="12" t="n">
        <f aca="false">2*Calculator!$C$5*M133</f>
        <v>16.6554451109376</v>
      </c>
      <c r="R133" s="12" t="n">
        <f aca="false">O133-P133-Q133</f>
        <v>0.132326099927997</v>
      </c>
      <c r="S133" s="12" t="n">
        <f aca="false">O133+2*Calculator!$C$6*M133</f>
        <v>31.732494014408</v>
      </c>
      <c r="T133" s="12" t="n">
        <f aca="false">S133-2*Calculator!$B$6*M133</f>
        <v>26.08658041748</v>
      </c>
      <c r="U133" s="12" t="n">
        <f aca="false">2*Calculator!$B$5*M133</f>
        <v>16.6554451109376</v>
      </c>
      <c r="V133" s="12" t="n">
        <f aca="false">R133*Calculator!$B$7/Calculator!$C$7</f>
        <v>0.132326099927997</v>
      </c>
      <c r="W133" s="14" t="n">
        <f aca="false">T133-U133-V133</f>
        <v>9.29880920661437</v>
      </c>
      <c r="X133" s="7" t="str">
        <f aca="false">LEFT(A133,7)</f>
        <v>2026-05</v>
      </c>
    </row>
    <row r="134" customFormat="false" ht="15" hidden="false" customHeight="false" outlineLevel="0" collapsed="false">
      <c r="A134" s="7" t="s">
        <v>306</v>
      </c>
      <c r="B134" s="7" t="s">
        <v>207</v>
      </c>
      <c r="C134" s="7" t="s">
        <v>64</v>
      </c>
      <c r="D134" s="7" t="s">
        <v>60</v>
      </c>
      <c r="E134" s="7" t="s">
        <v>66</v>
      </c>
      <c r="F134" s="28" t="n">
        <v>46152.8125</v>
      </c>
      <c r="G134" s="29" t="n">
        <v>80948.48646</v>
      </c>
      <c r="H134" s="29" t="n">
        <v>80527.3887</v>
      </c>
      <c r="I134" s="28" t="n">
        <v>46152.8958333333</v>
      </c>
      <c r="J134" s="29" t="n">
        <v>81301.661974888</v>
      </c>
      <c r="K134" s="7" t="s">
        <v>69</v>
      </c>
      <c r="L134" s="30" t="n">
        <v>0.002</v>
      </c>
      <c r="M134" s="12" t="n">
        <f aca="false">L134*G134*Settings!$B$5</f>
        <v>14246.93361696</v>
      </c>
      <c r="N134" s="31" t="n">
        <f aca="false">(I134-F134)*24</f>
        <v>2</v>
      </c>
      <c r="O134" s="12" t="n">
        <v>48.1793477281601</v>
      </c>
      <c r="P134" s="12" t="n">
        <v>31.0563143872763</v>
      </c>
      <c r="Q134" s="12" t="n">
        <f aca="false">2*Calculator!$C$5*M134</f>
        <v>16.8113816680128</v>
      </c>
      <c r="R134" s="12" t="n">
        <f aca="false">O134-P134-Q134</f>
        <v>0.311651672870998</v>
      </c>
      <c r="S134" s="12" t="n">
        <f aca="false">O134+2*Calculator!$C$6*M134</f>
        <v>53.8781211749441</v>
      </c>
      <c r="T134" s="12" t="n">
        <f aca="false">S134-2*Calculator!$B$6*M134</f>
        <v>48.1793477281601</v>
      </c>
      <c r="U134" s="12" t="n">
        <f aca="false">2*Calculator!$B$5*M134</f>
        <v>16.8113816680128</v>
      </c>
      <c r="V134" s="12" t="n">
        <f aca="false">R134*Calculator!$B$7/Calculator!$C$7</f>
        <v>0.311651672870998</v>
      </c>
      <c r="W134" s="14" t="n">
        <f aca="false">T134-U134-V134</f>
        <v>31.0563143872763</v>
      </c>
      <c r="X134" s="7" t="str">
        <f aca="false">LEFT(A134,7)</f>
        <v>2026-05</v>
      </c>
    </row>
    <row r="135" customFormat="false" ht="15" hidden="false" customHeight="false" outlineLevel="0" collapsed="false">
      <c r="A135" s="7" t="s">
        <v>307</v>
      </c>
      <c r="B135" s="7" t="s">
        <v>213</v>
      </c>
      <c r="C135" s="7" t="s">
        <v>63</v>
      </c>
      <c r="D135" s="7" t="s">
        <v>60</v>
      </c>
      <c r="E135" s="7" t="s">
        <v>67</v>
      </c>
      <c r="F135" s="28" t="n">
        <v>46153.5625</v>
      </c>
      <c r="G135" s="29" t="n">
        <v>80692.65824</v>
      </c>
      <c r="H135" s="29" t="n">
        <v>81099.9147</v>
      </c>
      <c r="I135" s="28" t="n">
        <v>46153.65625</v>
      </c>
      <c r="J135" s="29" t="n">
        <v>81116.13468294</v>
      </c>
      <c r="K135" s="7" t="s">
        <v>70</v>
      </c>
      <c r="L135" s="30" t="n">
        <v>0.002</v>
      </c>
      <c r="M135" s="12" t="n">
        <f aca="false">L135*G135*Settings!$B$5</f>
        <v>14201.90785024</v>
      </c>
      <c r="N135" s="31" t="n">
        <f aca="false">(I135-F135)*24</f>
        <v>2.25</v>
      </c>
      <c r="O135" s="12" t="n">
        <v>-74.5318539574416</v>
      </c>
      <c r="P135" s="12" t="n">
        <v>-91.6895338790128</v>
      </c>
      <c r="Q135" s="12" t="n">
        <f aca="false">2*Calculator!$C$5*M135</f>
        <v>16.7582512632832</v>
      </c>
      <c r="R135" s="12" t="n">
        <f aca="false">O135-P135-Q135</f>
        <v>0.399428658288013</v>
      </c>
      <c r="S135" s="12" t="n">
        <f aca="false">O135+2*Calculator!$C$6*M135</f>
        <v>-68.8510908173456</v>
      </c>
      <c r="T135" s="12" t="n">
        <f aca="false">S135-2*Calculator!$B$6*M135</f>
        <v>-74.5318539574416</v>
      </c>
      <c r="U135" s="12" t="n">
        <f aca="false">2*Calculator!$B$5*M135</f>
        <v>16.7582512632832</v>
      </c>
      <c r="V135" s="12" t="n">
        <f aca="false">R135*Calculator!$B$7/Calculator!$C$7</f>
        <v>0.399428658288013</v>
      </c>
      <c r="W135" s="14" t="n">
        <f aca="false">T135-U135-V135</f>
        <v>-91.6895338790128</v>
      </c>
      <c r="X135" s="7" t="str">
        <f aca="false">LEFT(A135,7)</f>
        <v>2026-05</v>
      </c>
    </row>
    <row r="136" customFormat="false" ht="15" hidden="false" customHeight="false" outlineLevel="0" collapsed="false">
      <c r="A136" s="7" t="s">
        <v>308</v>
      </c>
      <c r="B136" s="7" t="s">
        <v>209</v>
      </c>
      <c r="C136" s="7" t="s">
        <v>63</v>
      </c>
      <c r="D136" s="7" t="s">
        <v>59</v>
      </c>
      <c r="E136" s="7" t="s">
        <v>67</v>
      </c>
      <c r="F136" s="28" t="n">
        <v>46154.5625</v>
      </c>
      <c r="G136" s="29" t="n">
        <v>80793.03816</v>
      </c>
      <c r="H136" s="29" t="n">
        <v>81021.7506</v>
      </c>
      <c r="I136" s="28" t="n">
        <v>46154.625</v>
      </c>
      <c r="J136" s="29" t="n">
        <v>80743.323545622</v>
      </c>
      <c r="K136" s="7" t="s">
        <v>69</v>
      </c>
      <c r="L136" s="30" t="n">
        <v>0.004</v>
      </c>
      <c r="M136" s="12" t="n">
        <f aca="false">L136*G136*Settings!$B$5</f>
        <v>28439.14943232</v>
      </c>
      <c r="N136" s="31" t="n">
        <f aca="false">(I136-F136)*24</f>
        <v>1.5</v>
      </c>
      <c r="O136" s="12" t="n">
        <v>26.0365772462408</v>
      </c>
      <c r="P136" s="12" t="n">
        <v>-8.01041696476479</v>
      </c>
      <c r="Q136" s="12" t="n">
        <f aca="false">2*Calculator!$C$5*M136</f>
        <v>33.5581963301376</v>
      </c>
      <c r="R136" s="12" t="n">
        <f aca="false">O136-P136-Q136</f>
        <v>0.488797880868006</v>
      </c>
      <c r="S136" s="12" t="n">
        <f aca="false">O136+2*Calculator!$C$6*M136</f>
        <v>37.4122370191688</v>
      </c>
      <c r="T136" s="12" t="n">
        <f aca="false">S136-2*Calculator!$B$6*M136</f>
        <v>26.0365772462408</v>
      </c>
      <c r="U136" s="12" t="n">
        <f aca="false">2*Calculator!$B$5*M136</f>
        <v>33.5581963301376</v>
      </c>
      <c r="V136" s="12" t="n">
        <f aca="false">R136*Calculator!$B$7/Calculator!$C$7</f>
        <v>0.488797880868006</v>
      </c>
      <c r="W136" s="14" t="n">
        <f aca="false">T136-U136-V136</f>
        <v>-8.01041696476479</v>
      </c>
      <c r="X136" s="7" t="str">
        <f aca="false">LEFT(A136,7)</f>
        <v>2026-05</v>
      </c>
    </row>
    <row r="137" customFormat="false" ht="15" hidden="false" customHeight="false" outlineLevel="0" collapsed="false">
      <c r="A137" s="7" t="s">
        <v>309</v>
      </c>
      <c r="B137" s="7" t="s">
        <v>201</v>
      </c>
      <c r="C137" s="7" t="s">
        <v>64</v>
      </c>
      <c r="D137" s="7" t="s">
        <v>60</v>
      </c>
      <c r="E137" s="7" t="s">
        <v>67</v>
      </c>
      <c r="F137" s="28" t="n">
        <v>46156.8125</v>
      </c>
      <c r="G137" s="29" t="n">
        <v>79644.96782</v>
      </c>
      <c r="H137" s="29" t="n">
        <v>80313.1903</v>
      </c>
      <c r="I137" s="28" t="n">
        <v>46156.8333333333</v>
      </c>
      <c r="J137" s="29" t="n">
        <v>80329.25293806</v>
      </c>
      <c r="K137" s="7" t="s">
        <v>70</v>
      </c>
      <c r="L137" s="30" t="n">
        <v>0.001</v>
      </c>
      <c r="M137" s="12" t="n">
        <f aca="false">L137*G137*Settings!$B$5</f>
        <v>7008.75716816</v>
      </c>
      <c r="N137" s="31" t="n">
        <f aca="false">(I137-F137)*24</f>
        <v>0.5</v>
      </c>
      <c r="O137" s="12" t="n">
        <v>-60.2170903892798</v>
      </c>
      <c r="P137" s="12" t="n">
        <v>-68.5312285800096</v>
      </c>
      <c r="Q137" s="12" t="n">
        <f aca="false">2*Calculator!$C$5*M137</f>
        <v>8.2703334584288</v>
      </c>
      <c r="R137" s="12" t="n">
        <f aca="false">O137-P137-Q137</f>
        <v>0.0438047323009858</v>
      </c>
      <c r="S137" s="12" t="n">
        <f aca="false">O137+2*Calculator!$C$6*M137</f>
        <v>-57.4135875220158</v>
      </c>
      <c r="T137" s="12" t="n">
        <f aca="false">S137-2*Calculator!$B$6*M137</f>
        <v>-60.2170903892798</v>
      </c>
      <c r="U137" s="12" t="n">
        <f aca="false">2*Calculator!$B$5*M137</f>
        <v>8.2703334584288</v>
      </c>
      <c r="V137" s="12" t="n">
        <f aca="false">R137*Calculator!$B$7/Calculator!$C$7</f>
        <v>0.0438047323009858</v>
      </c>
      <c r="W137" s="14" t="n">
        <f aca="false">T137-U137-V137</f>
        <v>-68.5312285800096</v>
      </c>
      <c r="X137" s="7" t="str">
        <f aca="false">LEFT(A137,7)</f>
        <v>2026-05</v>
      </c>
    </row>
    <row r="138" customFormat="false" ht="15" hidden="false" customHeight="false" outlineLevel="0" collapsed="false">
      <c r="A138" s="7" t="s">
        <v>310</v>
      </c>
      <c r="B138" s="7" t="s">
        <v>203</v>
      </c>
      <c r="C138" s="7" t="s">
        <v>63</v>
      </c>
      <c r="D138" s="7" t="s">
        <v>60</v>
      </c>
      <c r="E138" s="7" t="s">
        <v>67</v>
      </c>
      <c r="F138" s="28" t="n">
        <v>46157.5625</v>
      </c>
      <c r="G138" s="29" t="n">
        <v>80766.74342</v>
      </c>
      <c r="H138" s="29" t="n">
        <v>81229.59565</v>
      </c>
      <c r="I138" s="28" t="n">
        <v>46157.5833333333</v>
      </c>
      <c r="J138" s="29" t="n">
        <v>80611.8322001115</v>
      </c>
      <c r="K138" s="7" t="s">
        <v>69</v>
      </c>
      <c r="L138" s="30" t="n">
        <v>0.002</v>
      </c>
      <c r="M138" s="12" t="n">
        <f aca="false">L138*G138*Settings!$B$5</f>
        <v>14214.94684192</v>
      </c>
      <c r="N138" s="31" t="n">
        <f aca="false">(I138-F138)*24</f>
        <v>0.5</v>
      </c>
      <c r="O138" s="12" t="n">
        <v>32.5802638856212</v>
      </c>
      <c r="P138" s="12" t="n">
        <v>15.7399940488341</v>
      </c>
      <c r="Q138" s="12" t="n">
        <f aca="false">2*Calculator!$C$5*M138</f>
        <v>16.7736372734656</v>
      </c>
      <c r="R138" s="12" t="n">
        <f aca="false">O138-P138-Q138</f>
        <v>0.0666325633214981</v>
      </c>
      <c r="S138" s="12" t="n">
        <f aca="false">O138+2*Calculator!$C$6*M138</f>
        <v>38.2662426223892</v>
      </c>
      <c r="T138" s="12" t="n">
        <f aca="false">S138-2*Calculator!$B$6*M138</f>
        <v>32.5802638856212</v>
      </c>
      <c r="U138" s="12" t="n">
        <f aca="false">2*Calculator!$B$5*M138</f>
        <v>16.7736372734656</v>
      </c>
      <c r="V138" s="12" t="n">
        <f aca="false">R138*Calculator!$B$7/Calculator!$C$7</f>
        <v>0.0666325633214981</v>
      </c>
      <c r="W138" s="14" t="n">
        <f aca="false">T138-U138-V138</f>
        <v>15.7399940488341</v>
      </c>
      <c r="X138" s="7" t="str">
        <f aca="false">LEFT(A138,7)</f>
        <v>2026-05</v>
      </c>
    </row>
    <row r="139" customFormat="false" ht="15" hidden="false" customHeight="false" outlineLevel="0" collapsed="false">
      <c r="A139" s="7" t="s">
        <v>310</v>
      </c>
      <c r="B139" s="7" t="s">
        <v>203</v>
      </c>
      <c r="C139" s="7" t="s">
        <v>64</v>
      </c>
      <c r="D139" s="7" t="s">
        <v>59</v>
      </c>
      <c r="E139" s="7" t="s">
        <v>67</v>
      </c>
      <c r="F139" s="28" t="n">
        <v>46157.8125</v>
      </c>
      <c r="G139" s="29" t="n">
        <v>78712.05444</v>
      </c>
      <c r="H139" s="29" t="n">
        <v>79173.5825</v>
      </c>
      <c r="I139" s="28" t="n">
        <v>46157.8125</v>
      </c>
      <c r="J139" s="29" t="n">
        <v>79189.4172165</v>
      </c>
      <c r="K139" s="7" t="s">
        <v>70</v>
      </c>
      <c r="L139" s="30" t="n">
        <v>0.002</v>
      </c>
      <c r="M139" s="12" t="n">
        <f aca="false">L139*G139*Settings!$B$5</f>
        <v>13853.32158144</v>
      </c>
      <c r="N139" s="31" t="n">
        <f aca="false">(I139-F139)*24</f>
        <v>0</v>
      </c>
      <c r="O139" s="12" t="n">
        <v>-84.0158486639997</v>
      </c>
      <c r="P139" s="12" t="n">
        <v>-100.362768130099</v>
      </c>
      <c r="Q139" s="12" t="n">
        <f aca="false">2*Calculator!$C$5*M139</f>
        <v>16.3469194660992</v>
      </c>
      <c r="R139" s="12" t="n">
        <f aca="false">O139-P139-Q139</f>
        <v>0</v>
      </c>
      <c r="S139" s="12" t="n">
        <f aca="false">O139+2*Calculator!$C$6*M139</f>
        <v>-78.4745200314237</v>
      </c>
      <c r="T139" s="12" t="n">
        <f aca="false">S139-2*Calculator!$B$6*M139</f>
        <v>-84.0158486639997</v>
      </c>
      <c r="U139" s="12" t="n">
        <f aca="false">2*Calculator!$B$5*M139</f>
        <v>16.3469194660992</v>
      </c>
      <c r="V139" s="12" t="n">
        <f aca="false">R139*Calculator!$B$7/Calculator!$C$7</f>
        <v>0</v>
      </c>
      <c r="W139" s="14" t="n">
        <f aca="false">T139-U139-V139</f>
        <v>-100.362768130099</v>
      </c>
      <c r="X139" s="7" t="str">
        <f aca="false">LEFT(A139,7)</f>
        <v>2026-05</v>
      </c>
    </row>
    <row r="140" customFormat="false" ht="15" hidden="false" customHeight="false" outlineLevel="0" collapsed="false">
      <c r="A140" s="7" t="s">
        <v>311</v>
      </c>
      <c r="B140" s="7" t="s">
        <v>205</v>
      </c>
      <c r="C140" s="7" t="s">
        <v>63</v>
      </c>
      <c r="D140" s="7" t="s">
        <v>60</v>
      </c>
      <c r="E140" s="7" t="s">
        <v>66</v>
      </c>
      <c r="F140" s="28" t="n">
        <v>46158.5729166667</v>
      </c>
      <c r="G140" s="29" t="n">
        <v>78399.07668</v>
      </c>
      <c r="H140" s="29" t="n">
        <v>77962.68205</v>
      </c>
      <c r="I140" s="28" t="n">
        <v>46158.6145833333</v>
      </c>
      <c r="J140" s="29" t="n">
        <v>77947.08951359</v>
      </c>
      <c r="K140" s="7" t="s">
        <v>70</v>
      </c>
      <c r="L140" s="30" t="n">
        <v>0.002</v>
      </c>
      <c r="M140" s="12" t="n">
        <f aca="false">L140*G140*Settings!$B$5</f>
        <v>13798.23749568</v>
      </c>
      <c r="N140" s="31" t="n">
        <f aca="false">(I140-F140)*24</f>
        <v>1.00000000046556</v>
      </c>
      <c r="O140" s="12" t="n">
        <v>-79.5497412881586</v>
      </c>
      <c r="P140" s="12" t="n">
        <v>-96.004139501757</v>
      </c>
      <c r="Q140" s="12" t="n">
        <f aca="false">2*Calculator!$C$5*M140</f>
        <v>16.2819202449024</v>
      </c>
      <c r="R140" s="12" t="n">
        <f aca="false">O140-P140-Q140</f>
        <v>0.172477968696008</v>
      </c>
      <c r="S140" s="12" t="n">
        <f aca="false">O140+2*Calculator!$C$6*M140</f>
        <v>-74.0304462898866</v>
      </c>
      <c r="T140" s="12" t="n">
        <f aca="false">S140-2*Calculator!$B$6*M140</f>
        <v>-79.5497412881586</v>
      </c>
      <c r="U140" s="12" t="n">
        <f aca="false">2*Calculator!$B$5*M140</f>
        <v>16.2819202449024</v>
      </c>
      <c r="V140" s="12" t="n">
        <f aca="false">R140*Calculator!$B$7/Calculator!$C$7</f>
        <v>0.172477968696008</v>
      </c>
      <c r="W140" s="14" t="n">
        <f aca="false">T140-U140-V140</f>
        <v>-96.004139501757</v>
      </c>
      <c r="X140" s="7" t="str">
        <f aca="false">LEFT(A140,7)</f>
        <v>2026-05</v>
      </c>
    </row>
    <row r="141" customFormat="false" ht="15" hidden="false" customHeight="false" outlineLevel="0" collapsed="false">
      <c r="A141" s="7" t="s">
        <v>312</v>
      </c>
      <c r="B141" s="7" t="s">
        <v>213</v>
      </c>
      <c r="C141" s="7" t="s">
        <v>63</v>
      </c>
      <c r="D141" s="7" t="s">
        <v>60</v>
      </c>
      <c r="E141" s="7" t="s">
        <v>67</v>
      </c>
      <c r="F141" s="28" t="n">
        <v>46160.5729166667</v>
      </c>
      <c r="G141" s="29" t="n">
        <v>76986.49962</v>
      </c>
      <c r="H141" s="29" t="n">
        <v>77397.22725</v>
      </c>
      <c r="I141" s="28" t="n">
        <v>46160.65625</v>
      </c>
      <c r="J141" s="29" t="n">
        <v>76788.1364638815</v>
      </c>
      <c r="K141" s="7" t="s">
        <v>69</v>
      </c>
      <c r="L141" s="30" t="n">
        <v>0.002</v>
      </c>
      <c r="M141" s="12" t="n">
        <f aca="false">L141*G141*Settings!$B$5</f>
        <v>13549.62393312</v>
      </c>
      <c r="N141" s="31" t="n">
        <f aca="false">(I141-F141)*24</f>
        <v>2</v>
      </c>
      <c r="O141" s="12" t="n">
        <v>34.1766254682607</v>
      </c>
      <c r="P141" s="12" t="n">
        <v>17.8704999162466</v>
      </c>
      <c r="Q141" s="12" t="n">
        <f aca="false">2*Calculator!$C$5*M141</f>
        <v>15.9885562410816</v>
      </c>
      <c r="R141" s="12" t="n">
        <f aca="false">O141-P141-Q141</f>
        <v>0.317569310932486</v>
      </c>
      <c r="S141" s="12" t="n">
        <f aca="false">O141+2*Calculator!$C$6*M141</f>
        <v>39.5964750415087</v>
      </c>
      <c r="T141" s="12" t="n">
        <f aca="false">S141-2*Calculator!$B$6*M141</f>
        <v>34.1766254682607</v>
      </c>
      <c r="U141" s="12" t="n">
        <f aca="false">2*Calculator!$B$5*M141</f>
        <v>15.9885562410816</v>
      </c>
      <c r="V141" s="12" t="n">
        <f aca="false">R141*Calculator!$B$7/Calculator!$C$7</f>
        <v>0.317569310932486</v>
      </c>
      <c r="W141" s="14" t="n">
        <f aca="false">T141-U141-V141</f>
        <v>17.8704999162466</v>
      </c>
      <c r="X141" s="7" t="str">
        <f aca="false">LEFT(A141,7)</f>
        <v>2026-05</v>
      </c>
    </row>
    <row r="142" customFormat="false" ht="15" hidden="false" customHeight="false" outlineLevel="0" collapsed="false">
      <c r="A142" s="7" t="s">
        <v>312</v>
      </c>
      <c r="B142" s="7" t="s">
        <v>213</v>
      </c>
      <c r="C142" s="7" t="s">
        <v>64</v>
      </c>
      <c r="D142" s="7" t="s">
        <v>60</v>
      </c>
      <c r="E142" s="7" t="s">
        <v>66</v>
      </c>
      <c r="F142" s="28" t="n">
        <v>46160.8125</v>
      </c>
      <c r="G142" s="29" t="n">
        <v>76929.28278</v>
      </c>
      <c r="H142" s="29" t="n">
        <v>76369.48385</v>
      </c>
      <c r="I142" s="28" t="n">
        <v>46160.8333333333</v>
      </c>
      <c r="J142" s="29" t="n">
        <v>76354.20995323</v>
      </c>
      <c r="K142" s="7" t="s">
        <v>70</v>
      </c>
      <c r="L142" s="30" t="n">
        <v>0.002</v>
      </c>
      <c r="M142" s="12" t="n">
        <f aca="false">L142*G142*Settings!$B$5</f>
        <v>13539.55376928</v>
      </c>
      <c r="N142" s="31" t="n">
        <f aca="false">(I142-F142)*24</f>
        <v>0.5</v>
      </c>
      <c r="O142" s="12" t="n">
        <v>-101.212817511518</v>
      </c>
      <c r="P142" s="12" t="n">
        <v>-117.274113170326</v>
      </c>
      <c r="Q142" s="12" t="n">
        <f aca="false">2*Calculator!$C$5*M142</f>
        <v>15.9766734477504</v>
      </c>
      <c r="R142" s="12" t="n">
        <f aca="false">O142-P142-Q142</f>
        <v>0.0846222110580044</v>
      </c>
      <c r="S142" s="12" t="n">
        <f aca="false">O142+2*Calculator!$C$6*M142</f>
        <v>-95.796996003806</v>
      </c>
      <c r="T142" s="12" t="n">
        <f aca="false">S142-2*Calculator!$B$6*M142</f>
        <v>-101.212817511518</v>
      </c>
      <c r="U142" s="12" t="n">
        <f aca="false">2*Calculator!$B$5*M142</f>
        <v>15.9766734477504</v>
      </c>
      <c r="V142" s="12" t="n">
        <f aca="false">R142*Calculator!$B$7/Calculator!$C$7</f>
        <v>0.0846222110580044</v>
      </c>
      <c r="W142" s="14" t="n">
        <f aca="false">T142-U142-V142</f>
        <v>-117.274113170326</v>
      </c>
      <c r="X142" s="7" t="str">
        <f aca="false">LEFT(A142,7)</f>
        <v>2026-05</v>
      </c>
    </row>
    <row r="143" customFormat="false" ht="15" hidden="false" customHeight="false" outlineLevel="0" collapsed="false">
      <c r="A143" s="7" t="s">
        <v>313</v>
      </c>
      <c r="B143" s="7" t="s">
        <v>209</v>
      </c>
      <c r="C143" s="7" t="s">
        <v>63</v>
      </c>
      <c r="D143" s="7" t="s">
        <v>60</v>
      </c>
      <c r="E143" s="7" t="s">
        <v>67</v>
      </c>
      <c r="F143" s="28" t="n">
        <v>46161.5625</v>
      </c>
      <c r="G143" s="29" t="n">
        <v>77184.95992</v>
      </c>
      <c r="H143" s="29" t="n">
        <v>77588.1827</v>
      </c>
      <c r="I143" s="28" t="n">
        <v>46161.5729166667</v>
      </c>
      <c r="J143" s="29" t="n">
        <v>77048.212256139</v>
      </c>
      <c r="K143" s="7" t="s">
        <v>69</v>
      </c>
      <c r="L143" s="30" t="n">
        <v>0.002</v>
      </c>
      <c r="M143" s="12" t="n">
        <f aca="false">L143*G143*Settings!$B$5</f>
        <v>13584.55294592</v>
      </c>
      <c r="N143" s="31" t="n">
        <f aca="false">(I143-F143)*24</f>
        <v>0.25</v>
      </c>
      <c r="O143" s="12" t="n">
        <v>28.4206898056405</v>
      </c>
      <c r="P143" s="12" t="n">
        <v>12.3484656014989</v>
      </c>
      <c r="Q143" s="12" t="n">
        <f aca="false">2*Calculator!$C$5*M143</f>
        <v>16.0297724761856</v>
      </c>
      <c r="R143" s="12" t="n">
        <f aca="false">O143-P143-Q143</f>
        <v>0.0424517279559993</v>
      </c>
      <c r="S143" s="12" t="n">
        <f aca="false">O143+2*Calculator!$C$6*M143</f>
        <v>33.8545109840085</v>
      </c>
      <c r="T143" s="12" t="n">
        <f aca="false">S143-2*Calculator!$B$6*M143</f>
        <v>28.4206898056405</v>
      </c>
      <c r="U143" s="12" t="n">
        <f aca="false">2*Calculator!$B$5*M143</f>
        <v>16.0297724761856</v>
      </c>
      <c r="V143" s="12" t="n">
        <f aca="false">R143*Calculator!$B$7/Calculator!$C$7</f>
        <v>0.0424517279559993</v>
      </c>
      <c r="W143" s="14" t="n">
        <f aca="false">T143-U143-V143</f>
        <v>12.3484656014989</v>
      </c>
      <c r="X143" s="7" t="str">
        <f aca="false">LEFT(A143,7)</f>
        <v>2026-05</v>
      </c>
    </row>
    <row r="144" customFormat="false" ht="15" hidden="false" customHeight="false" outlineLevel="0" collapsed="false">
      <c r="A144" s="7" t="s">
        <v>314</v>
      </c>
      <c r="B144" s="7" t="s">
        <v>199</v>
      </c>
      <c r="C144" s="7" t="s">
        <v>64</v>
      </c>
      <c r="D144" s="7" t="s">
        <v>60</v>
      </c>
      <c r="E144" s="7" t="s">
        <v>66</v>
      </c>
      <c r="F144" s="28" t="n">
        <v>46162.8229166667</v>
      </c>
      <c r="G144" s="29" t="n">
        <v>77097.01632</v>
      </c>
      <c r="H144" s="29" t="n">
        <v>76579.4348</v>
      </c>
      <c r="I144" s="28" t="n">
        <v>46162.8229166667</v>
      </c>
      <c r="J144" s="29" t="n">
        <v>77400.121499076</v>
      </c>
      <c r="K144" s="7" t="s">
        <v>69</v>
      </c>
      <c r="L144" s="30" t="n">
        <v>0.002</v>
      </c>
      <c r="M144" s="12" t="n">
        <f aca="false">L144*G144*Settings!$B$5</f>
        <v>13569.07487232</v>
      </c>
      <c r="N144" s="31" t="n">
        <f aca="false">(I144-F144)*24</f>
        <v>0</v>
      </c>
      <c r="O144" s="12" t="n">
        <v>48.0853804340796</v>
      </c>
      <c r="P144" s="12" t="n">
        <v>32.073872084742</v>
      </c>
      <c r="Q144" s="12" t="n">
        <f aca="false">2*Calculator!$C$5*M144</f>
        <v>16.0115083493376</v>
      </c>
      <c r="R144" s="12" t="n">
        <f aca="false">O144-P144-Q144</f>
        <v>0</v>
      </c>
      <c r="S144" s="12" t="n">
        <f aca="false">O144+2*Calculator!$C$6*M144</f>
        <v>53.5130103830076</v>
      </c>
      <c r="T144" s="12" t="n">
        <f aca="false">S144-2*Calculator!$B$6*M144</f>
        <v>48.0853804340796</v>
      </c>
      <c r="U144" s="12" t="n">
        <f aca="false">2*Calculator!$B$5*M144</f>
        <v>16.0115083493376</v>
      </c>
      <c r="V144" s="12" t="n">
        <f aca="false">R144*Calculator!$B$7/Calculator!$C$7</f>
        <v>0</v>
      </c>
      <c r="W144" s="14" t="n">
        <f aca="false">T144-U144-V144</f>
        <v>32.073872084742</v>
      </c>
      <c r="X144" s="7" t="str">
        <f aca="false">LEFT(A144,7)</f>
        <v>2026-05</v>
      </c>
    </row>
    <row r="145" customFormat="false" ht="15" hidden="false" customHeight="false" outlineLevel="0" collapsed="false">
      <c r="A145" s="7" t="s">
        <v>315</v>
      </c>
      <c r="B145" s="7" t="s">
        <v>201</v>
      </c>
      <c r="C145" s="7" t="s">
        <v>63</v>
      </c>
      <c r="D145" s="7" t="s">
        <v>59</v>
      </c>
      <c r="E145" s="7" t="s">
        <v>66</v>
      </c>
      <c r="F145" s="28" t="n">
        <v>46163.5625</v>
      </c>
      <c r="G145" s="29" t="n">
        <v>77861.66922</v>
      </c>
      <c r="H145" s="29" t="n">
        <v>77570.4695</v>
      </c>
      <c r="I145" s="28" t="n">
        <v>46163.5625</v>
      </c>
      <c r="J145" s="29" t="n">
        <v>78091.578629986</v>
      </c>
      <c r="K145" s="7" t="s">
        <v>69</v>
      </c>
      <c r="L145" s="30" t="n">
        <v>0.003</v>
      </c>
      <c r="M145" s="12" t="n">
        <f aca="false">L145*G145*Settings!$B$5</f>
        <v>20555.48067408</v>
      </c>
      <c r="N145" s="31" t="n">
        <f aca="false">(I145-F145)*24</f>
        <v>0</v>
      </c>
      <c r="O145" s="12" t="n">
        <v>51.9039159017251</v>
      </c>
      <c r="P145" s="12" t="n">
        <v>27.6484487063107</v>
      </c>
      <c r="Q145" s="12" t="n">
        <f aca="false">2*Calculator!$C$5*M145</f>
        <v>24.2554671954144</v>
      </c>
      <c r="R145" s="12" t="n">
        <f aca="false">O145-P145-Q145</f>
        <v>0</v>
      </c>
      <c r="S145" s="12" t="n">
        <f aca="false">O145+2*Calculator!$C$6*M145</f>
        <v>60.1261081713571</v>
      </c>
      <c r="T145" s="12" t="n">
        <f aca="false">S145-2*Calculator!$B$6*M145</f>
        <v>51.9039159017251</v>
      </c>
      <c r="U145" s="12" t="n">
        <f aca="false">2*Calculator!$B$5*M145</f>
        <v>24.2554671954144</v>
      </c>
      <c r="V145" s="12" t="n">
        <f aca="false">R145*Calculator!$B$7/Calculator!$C$7</f>
        <v>0</v>
      </c>
      <c r="W145" s="14" t="n">
        <f aca="false">T145-U145-V145</f>
        <v>27.6484487063107</v>
      </c>
      <c r="X145" s="7" t="str">
        <f aca="false">LEFT(A145,7)</f>
        <v>2026-05</v>
      </c>
    </row>
    <row r="146" customFormat="false" ht="15" hidden="false" customHeight="false" outlineLevel="0" collapsed="false">
      <c r="A146" s="7" t="s">
        <v>316</v>
      </c>
      <c r="B146" s="7" t="s">
        <v>205</v>
      </c>
      <c r="C146" s="7" t="s">
        <v>63</v>
      </c>
      <c r="D146" s="7" t="s">
        <v>59</v>
      </c>
      <c r="E146" s="7" t="s">
        <v>67</v>
      </c>
      <c r="F146" s="28" t="n">
        <v>46165.5625</v>
      </c>
      <c r="G146" s="29" t="n">
        <v>74558.28536</v>
      </c>
      <c r="H146" s="29" t="n">
        <v>75217.55735</v>
      </c>
      <c r="I146" s="28" t="n">
        <v>46165.78125</v>
      </c>
      <c r="J146" s="29" t="n">
        <v>74913.57972</v>
      </c>
      <c r="K146" s="7" t="s">
        <v>71</v>
      </c>
      <c r="L146" s="30" t="n">
        <v>0.001</v>
      </c>
      <c r="M146" s="12" t="n">
        <f aca="false">L146*G146*Settings!$B$5</f>
        <v>6561.12911168</v>
      </c>
      <c r="N146" s="31" t="n">
        <f aca="false">(I146-F146)*24</f>
        <v>5.25</v>
      </c>
      <c r="O146" s="12" t="n">
        <v>-31.2659036800013</v>
      </c>
      <c r="P146" s="12" t="n">
        <v>-39.4386101297377</v>
      </c>
      <c r="Q146" s="12" t="n">
        <f aca="false">2*Calculator!$C$5*M146</f>
        <v>7.7421323517824</v>
      </c>
      <c r="R146" s="12" t="n">
        <f aca="false">O146-P146-Q146</f>
        <v>0.430574097953999</v>
      </c>
      <c r="S146" s="12" t="n">
        <f aca="false">O146+2*Calculator!$C$6*M146</f>
        <v>-28.6414520353293</v>
      </c>
      <c r="T146" s="12" t="n">
        <f aca="false">S146-2*Calculator!$B$6*M146</f>
        <v>-31.2659036800013</v>
      </c>
      <c r="U146" s="12" t="n">
        <f aca="false">2*Calculator!$B$5*M146</f>
        <v>7.7421323517824</v>
      </c>
      <c r="V146" s="12" t="n">
        <f aca="false">R146*Calculator!$B$7/Calculator!$C$7</f>
        <v>0.430574097953999</v>
      </c>
      <c r="W146" s="14" t="n">
        <f aca="false">T146-U146-V146</f>
        <v>-39.4386101297377</v>
      </c>
      <c r="X146" s="7" t="str">
        <f aca="false">LEFT(A146,7)</f>
        <v>2026-05</v>
      </c>
    </row>
    <row r="147" customFormat="false" ht="15" hidden="false" customHeight="false" outlineLevel="0" collapsed="false">
      <c r="A147" s="7" t="s">
        <v>316</v>
      </c>
      <c r="B147" s="7" t="s">
        <v>205</v>
      </c>
      <c r="C147" s="7" t="s">
        <v>64</v>
      </c>
      <c r="D147" s="7" t="s">
        <v>59</v>
      </c>
      <c r="E147" s="7" t="s">
        <v>66</v>
      </c>
      <c r="F147" s="28" t="n">
        <v>46165.8125</v>
      </c>
      <c r="G147" s="29" t="n">
        <v>75195.83616</v>
      </c>
      <c r="H147" s="29" t="n">
        <v>74894.98875</v>
      </c>
      <c r="I147" s="28" t="n">
        <v>46165.84375</v>
      </c>
      <c r="J147" s="29" t="n">
        <v>75358.5134298705</v>
      </c>
      <c r="K147" s="7" t="s">
        <v>69</v>
      </c>
      <c r="L147" s="30" t="n">
        <v>0.003</v>
      </c>
      <c r="M147" s="12" t="n">
        <f aca="false">L147*G147*Settings!$B$5</f>
        <v>19851.70074624</v>
      </c>
      <c r="N147" s="31" t="n">
        <f aca="false">(I147-F147)*24</f>
        <v>0.75</v>
      </c>
      <c r="O147" s="12" t="n">
        <v>40.5423913635846</v>
      </c>
      <c r="P147" s="12" t="n">
        <v>16.9519536434694</v>
      </c>
      <c r="Q147" s="12" t="n">
        <f aca="false">2*Calculator!$C$5*M147</f>
        <v>23.4250068805632</v>
      </c>
      <c r="R147" s="12" t="n">
        <f aca="false">O147-P147-Q147</f>
        <v>0.165430839552002</v>
      </c>
      <c r="S147" s="12" t="n">
        <f aca="false">O147+2*Calculator!$C$6*M147</f>
        <v>48.4830716620806</v>
      </c>
      <c r="T147" s="12" t="n">
        <f aca="false">S147-2*Calculator!$B$6*M147</f>
        <v>40.5423913635846</v>
      </c>
      <c r="U147" s="12" t="n">
        <f aca="false">2*Calculator!$B$5*M147</f>
        <v>23.4250068805632</v>
      </c>
      <c r="V147" s="12" t="n">
        <f aca="false">R147*Calculator!$B$7/Calculator!$C$7</f>
        <v>0.165430839552002</v>
      </c>
      <c r="W147" s="14" t="n">
        <f aca="false">T147-U147-V147</f>
        <v>16.9519536434694</v>
      </c>
      <c r="X147" s="7" t="str">
        <f aca="false">LEFT(A147,7)</f>
        <v>2026-05</v>
      </c>
    </row>
    <row r="148" customFormat="false" ht="15" hidden="false" customHeight="false" outlineLevel="0" collapsed="false">
      <c r="A148" s="7" t="s">
        <v>317</v>
      </c>
      <c r="B148" s="7" t="s">
        <v>213</v>
      </c>
      <c r="C148" s="7" t="s">
        <v>63</v>
      </c>
      <c r="D148" s="7" t="s">
        <v>59</v>
      </c>
      <c r="E148" s="7" t="s">
        <v>66</v>
      </c>
      <c r="F148" s="28" t="n">
        <v>46167.5625</v>
      </c>
      <c r="G148" s="29" t="n">
        <v>77392.37538</v>
      </c>
      <c r="H148" s="29" t="n">
        <v>77188.74295</v>
      </c>
      <c r="I148" s="28" t="n">
        <v>46167.625</v>
      </c>
      <c r="J148" s="29" t="n">
        <v>77632.5622741215</v>
      </c>
      <c r="K148" s="7" t="s">
        <v>69</v>
      </c>
      <c r="L148" s="30" t="n">
        <v>0.005</v>
      </c>
      <c r="M148" s="12" t="n">
        <f aca="false">L148*G148*Settings!$B$5</f>
        <v>34052.6451672</v>
      </c>
      <c r="N148" s="31" t="n">
        <f aca="false">(I148-F148)*24</f>
        <v>1.5</v>
      </c>
      <c r="O148" s="12" t="n">
        <v>78.6011983439351</v>
      </c>
      <c r="P148" s="12" t="n">
        <v>37.8231557562131</v>
      </c>
      <c r="Q148" s="12" t="n">
        <f aca="false">2*Calculator!$C$5*M148</f>
        <v>40.182121297296</v>
      </c>
      <c r="R148" s="12" t="n">
        <f aca="false">O148-P148-Q148</f>
        <v>0.59592129042602</v>
      </c>
      <c r="S148" s="12" t="n">
        <f aca="false">O148+2*Calculator!$C$6*M148</f>
        <v>92.2222564108151</v>
      </c>
      <c r="T148" s="12" t="n">
        <f aca="false">S148-2*Calculator!$B$6*M148</f>
        <v>78.6011983439351</v>
      </c>
      <c r="U148" s="12" t="n">
        <f aca="false">2*Calculator!$B$5*M148</f>
        <v>40.182121297296</v>
      </c>
      <c r="V148" s="12" t="n">
        <f aca="false">R148*Calculator!$B$7/Calculator!$C$7</f>
        <v>0.59592129042602</v>
      </c>
      <c r="W148" s="14" t="n">
        <f aca="false">T148-U148-V148</f>
        <v>37.8231557562131</v>
      </c>
      <c r="X148" s="7" t="str">
        <f aca="false">LEFT(A148,7)</f>
        <v>2026-05</v>
      </c>
    </row>
    <row r="149" customFormat="false" ht="15" hidden="false" customHeight="false" outlineLevel="0" collapsed="false">
      <c r="A149" s="7" t="s">
        <v>318</v>
      </c>
      <c r="B149" s="7" t="s">
        <v>199</v>
      </c>
      <c r="C149" s="7" t="s">
        <v>63</v>
      </c>
      <c r="D149" s="7" t="s">
        <v>60</v>
      </c>
      <c r="E149" s="7" t="s">
        <v>67</v>
      </c>
      <c r="F149" s="28" t="n">
        <v>46169.5729166667</v>
      </c>
      <c r="G149" s="29" t="n">
        <v>75868.02336</v>
      </c>
      <c r="H149" s="29" t="n">
        <v>76279.721</v>
      </c>
      <c r="I149" s="28" t="n">
        <v>46169.7395833333</v>
      </c>
      <c r="J149" s="29" t="n">
        <v>75689.959374882</v>
      </c>
      <c r="K149" s="7" t="s">
        <v>69</v>
      </c>
      <c r="L149" s="30" t="n">
        <v>0.002</v>
      </c>
      <c r="M149" s="12" t="n">
        <f aca="false">L149*G149*Settings!$B$5</f>
        <v>13352.77211136</v>
      </c>
      <c r="N149" s="31" t="n">
        <f aca="false">(I149-F149)*24</f>
        <v>4.00000000046556</v>
      </c>
      <c r="O149" s="12" t="n">
        <v>32.4526725784793</v>
      </c>
      <c r="P149" s="12" t="n">
        <v>16.0496265879305</v>
      </c>
      <c r="Q149" s="12" t="n">
        <f aca="false">2*Calculator!$C$5*M149</f>
        <v>15.7562710914048</v>
      </c>
      <c r="R149" s="12" t="n">
        <f aca="false">O149-P149-Q149</f>
        <v>0.646774899143995</v>
      </c>
      <c r="S149" s="12" t="n">
        <f aca="false">O149+2*Calculator!$C$6*M149</f>
        <v>37.7937814230233</v>
      </c>
      <c r="T149" s="12" t="n">
        <f aca="false">S149-2*Calculator!$B$6*M149</f>
        <v>32.4526725784793</v>
      </c>
      <c r="U149" s="12" t="n">
        <f aca="false">2*Calculator!$B$5*M149</f>
        <v>15.7562710914048</v>
      </c>
      <c r="V149" s="12" t="n">
        <f aca="false">R149*Calculator!$B$7/Calculator!$C$7</f>
        <v>0.646774899143996</v>
      </c>
      <c r="W149" s="14" t="n">
        <f aca="false">T149-U149-V149</f>
        <v>16.0496265879305</v>
      </c>
      <c r="X149" s="7" t="str">
        <f aca="false">LEFT(A149,7)</f>
        <v>2026-05</v>
      </c>
    </row>
    <row r="150" customFormat="false" ht="15" hidden="false" customHeight="false" outlineLevel="0" collapsed="false">
      <c r="A150" s="7" t="s">
        <v>318</v>
      </c>
      <c r="B150" s="7" t="s">
        <v>199</v>
      </c>
      <c r="C150" s="7" t="s">
        <v>64</v>
      </c>
      <c r="D150" s="7" t="s">
        <v>60</v>
      </c>
      <c r="E150" s="7" t="s">
        <v>66</v>
      </c>
      <c r="F150" s="28" t="n">
        <v>46169.8125</v>
      </c>
      <c r="G150" s="29" t="n">
        <v>75069.31086</v>
      </c>
      <c r="H150" s="29" t="n">
        <v>74502.32405</v>
      </c>
      <c r="I150" s="28" t="n">
        <v>46169.875</v>
      </c>
      <c r="J150" s="29" t="n">
        <v>75242.8017268405</v>
      </c>
      <c r="K150" s="7" t="s">
        <v>69</v>
      </c>
      <c r="L150" s="30" t="n">
        <v>0.002</v>
      </c>
      <c r="M150" s="12" t="n">
        <f aca="false">L150*G150*Settings!$B$5</f>
        <v>13212.19871136</v>
      </c>
      <c r="N150" s="31" t="n">
        <f aca="false">(I150-F150)*24</f>
        <v>1.5</v>
      </c>
      <c r="O150" s="12" t="n">
        <v>38.8884065669001</v>
      </c>
      <c r="P150" s="12" t="n">
        <v>23.0709274221438</v>
      </c>
      <c r="Q150" s="12" t="n">
        <f aca="false">2*Calculator!$C$5*M150</f>
        <v>15.5903944794048</v>
      </c>
      <c r="R150" s="12" t="n">
        <f aca="false">O150-P150-Q150</f>
        <v>0.227084665351507</v>
      </c>
      <c r="S150" s="12" t="n">
        <f aca="false">O150+2*Calculator!$C$6*M150</f>
        <v>44.1732860514441</v>
      </c>
      <c r="T150" s="12" t="n">
        <f aca="false">S150-2*Calculator!$B$6*M150</f>
        <v>38.8884065669001</v>
      </c>
      <c r="U150" s="12" t="n">
        <f aca="false">2*Calculator!$B$5*M150</f>
        <v>15.5903944794048</v>
      </c>
      <c r="V150" s="12" t="n">
        <f aca="false">R150*Calculator!$B$7/Calculator!$C$7</f>
        <v>0.227084665351507</v>
      </c>
      <c r="W150" s="14" t="n">
        <f aca="false">T150-U150-V150</f>
        <v>23.0709274221438</v>
      </c>
      <c r="X150" s="7" t="str">
        <f aca="false">LEFT(A150,7)</f>
        <v>2026-05</v>
      </c>
    </row>
    <row r="151" customFormat="false" ht="15" hidden="false" customHeight="false" outlineLevel="0" collapsed="false">
      <c r="A151" s="7" t="s">
        <v>319</v>
      </c>
      <c r="B151" s="7" t="s">
        <v>201</v>
      </c>
      <c r="C151" s="7" t="s">
        <v>63</v>
      </c>
      <c r="D151" s="7" t="s">
        <v>60</v>
      </c>
      <c r="E151" s="7" t="s">
        <v>67</v>
      </c>
      <c r="F151" s="28" t="n">
        <v>46170.5625</v>
      </c>
      <c r="G151" s="29" t="n">
        <v>73452.3066</v>
      </c>
      <c r="H151" s="29" t="n">
        <v>73815.6825</v>
      </c>
      <c r="I151" s="28" t="n">
        <v>46170.59375</v>
      </c>
      <c r="J151" s="29" t="n">
        <v>73272.895623795</v>
      </c>
      <c r="K151" s="7" t="s">
        <v>69</v>
      </c>
      <c r="L151" s="30" t="n">
        <v>0.003</v>
      </c>
      <c r="M151" s="12" t="n">
        <f aca="false">L151*G151*Settings!$B$5</f>
        <v>19391.4089424</v>
      </c>
      <c r="N151" s="31" t="n">
        <f aca="false">(I151-F151)*24</f>
        <v>0.75</v>
      </c>
      <c r="O151" s="12" t="n">
        <v>46.275308523842</v>
      </c>
      <c r="P151" s="12" t="n">
        <v>23.252050281605</v>
      </c>
      <c r="Q151" s="12" t="n">
        <f aca="false">2*Calculator!$C$5*M151</f>
        <v>22.881862552032</v>
      </c>
      <c r="R151" s="12" t="n">
        <f aca="false">O151-P151-Q151</f>
        <v>0.141395690204991</v>
      </c>
      <c r="S151" s="12" t="n">
        <f aca="false">O151+2*Calculator!$C$6*M151</f>
        <v>54.031872100802</v>
      </c>
      <c r="T151" s="12" t="n">
        <f aca="false">S151-2*Calculator!$B$6*M151</f>
        <v>46.275308523842</v>
      </c>
      <c r="U151" s="12" t="n">
        <f aca="false">2*Calculator!$B$5*M151</f>
        <v>22.881862552032</v>
      </c>
      <c r="V151" s="12" t="n">
        <f aca="false">R151*Calculator!$B$7/Calculator!$C$7</f>
        <v>0.141395690204991</v>
      </c>
      <c r="W151" s="14" t="n">
        <f aca="false">T151-U151-V151</f>
        <v>23.252050281605</v>
      </c>
      <c r="X151" s="7" t="str">
        <f aca="false">LEFT(A151,7)</f>
        <v>2026-05</v>
      </c>
    </row>
    <row r="152" customFormat="false" ht="15" hidden="false" customHeight="false" outlineLevel="0" collapsed="false">
      <c r="A152" s="7" t="s">
        <v>320</v>
      </c>
      <c r="B152" s="7" t="s">
        <v>203</v>
      </c>
      <c r="C152" s="7" t="s">
        <v>63</v>
      </c>
      <c r="D152" s="7" t="s">
        <v>60</v>
      </c>
      <c r="E152" s="7" t="s">
        <v>66</v>
      </c>
      <c r="F152" s="28" t="n">
        <v>46171.5625</v>
      </c>
      <c r="G152" s="29" t="n">
        <v>73502.79762</v>
      </c>
      <c r="H152" s="29" t="n">
        <v>73021.7169</v>
      </c>
      <c r="I152" s="28" t="n">
        <v>46171.5833333333</v>
      </c>
      <c r="J152" s="29" t="n">
        <v>73664.793914036</v>
      </c>
      <c r="K152" s="7" t="s">
        <v>69</v>
      </c>
      <c r="L152" s="30" t="n">
        <v>0.002</v>
      </c>
      <c r="M152" s="12" t="n">
        <f aca="false">L152*G152*Settings!$B$5</f>
        <v>12936.49238112</v>
      </c>
      <c r="N152" s="31" t="n">
        <f aca="false">(I152-F152)*24</f>
        <v>0.5</v>
      </c>
      <c r="O152" s="12" t="n">
        <v>34.1253428067202</v>
      </c>
      <c r="P152" s="12" t="n">
        <v>18.7996419889621</v>
      </c>
      <c r="Q152" s="12" t="n">
        <f aca="false">2*Calculator!$C$5*M152</f>
        <v>15.2650610097216</v>
      </c>
      <c r="R152" s="12" t="n">
        <f aca="false">O152-P152-Q152</f>
        <v>0.0606398080364983</v>
      </c>
      <c r="S152" s="12" t="n">
        <f aca="false">O152+2*Calculator!$C$6*M152</f>
        <v>39.2999397591682</v>
      </c>
      <c r="T152" s="12" t="n">
        <f aca="false">S152-2*Calculator!$B$6*M152</f>
        <v>34.1253428067202</v>
      </c>
      <c r="U152" s="12" t="n">
        <f aca="false">2*Calculator!$B$5*M152</f>
        <v>15.2650610097216</v>
      </c>
      <c r="V152" s="12" t="n">
        <f aca="false">R152*Calculator!$B$7/Calculator!$C$7</f>
        <v>0.0606398080364983</v>
      </c>
      <c r="W152" s="14" t="n">
        <f aca="false">T152-U152-V152</f>
        <v>18.7996419889621</v>
      </c>
      <c r="X152" s="7" t="str">
        <f aca="false">LEFT(A152,7)</f>
        <v>2026-05</v>
      </c>
    </row>
    <row r="153" customFormat="false" ht="15" hidden="false" customHeight="false" outlineLevel="0" collapsed="false">
      <c r="A153" s="7" t="s">
        <v>320</v>
      </c>
      <c r="B153" s="7" t="s">
        <v>203</v>
      </c>
      <c r="C153" s="7" t="s">
        <v>64</v>
      </c>
      <c r="D153" s="7" t="s">
        <v>60</v>
      </c>
      <c r="E153" s="7" t="s">
        <v>67</v>
      </c>
      <c r="F153" s="28" t="n">
        <v>46171.8125</v>
      </c>
      <c r="G153" s="29" t="n">
        <v>73099.97708</v>
      </c>
      <c r="H153" s="29" t="n">
        <v>73610.46315</v>
      </c>
      <c r="I153" s="28" t="n">
        <v>46171.8229166667</v>
      </c>
      <c r="J153" s="29" t="n">
        <v>72578.1342418035</v>
      </c>
      <c r="K153" s="7" t="s">
        <v>69</v>
      </c>
      <c r="L153" s="30" t="n">
        <v>0.002</v>
      </c>
      <c r="M153" s="12" t="n">
        <f aca="false">L153*G153*Settings!$B$5</f>
        <v>12865.59596608</v>
      </c>
      <c r="N153" s="31" t="n">
        <f aca="false">(I153-F153)*24</f>
        <v>0.25</v>
      </c>
      <c r="O153" s="12" t="n">
        <v>67.1014895221013</v>
      </c>
      <c r="P153" s="12" t="n">
        <v>51.8798812947329</v>
      </c>
      <c r="Q153" s="12" t="n">
        <f aca="false">2*Calculator!$C$5*M153</f>
        <v>15.1814032399744</v>
      </c>
      <c r="R153" s="12" t="n">
        <f aca="false">O153-P153-Q153</f>
        <v>0.0402049873939951</v>
      </c>
      <c r="S153" s="12" t="n">
        <f aca="false">O153+2*Calculator!$C$6*M153</f>
        <v>72.2477279085333</v>
      </c>
      <c r="T153" s="12" t="n">
        <f aca="false">S153-2*Calculator!$B$6*M153</f>
        <v>67.1014895221013</v>
      </c>
      <c r="U153" s="12" t="n">
        <f aca="false">2*Calculator!$B$5*M153</f>
        <v>15.1814032399744</v>
      </c>
      <c r="V153" s="12" t="n">
        <f aca="false">R153*Calculator!$B$7/Calculator!$C$7</f>
        <v>0.0402049873939951</v>
      </c>
      <c r="W153" s="14" t="n">
        <f aca="false">T153-U153-V153</f>
        <v>51.8798812947329</v>
      </c>
      <c r="X153" s="7" t="str">
        <f aca="false">LEFT(A153,7)</f>
        <v>2026-05</v>
      </c>
    </row>
    <row r="154" customFormat="false" ht="15" hidden="false" customHeight="false" outlineLevel="0" collapsed="false">
      <c r="A154" s="7" t="s">
        <v>321</v>
      </c>
      <c r="B154" s="7" t="s">
        <v>205</v>
      </c>
      <c r="C154" s="7" t="s">
        <v>63</v>
      </c>
      <c r="D154" s="7" t="s">
        <v>60</v>
      </c>
      <c r="E154" s="7" t="s">
        <v>66</v>
      </c>
      <c r="F154" s="28" t="n">
        <v>46172.5625</v>
      </c>
      <c r="G154" s="29" t="n">
        <v>73528.7028</v>
      </c>
      <c r="H154" s="29" t="n">
        <v>73129.52955</v>
      </c>
      <c r="I154" s="28" t="n">
        <v>46172.78125</v>
      </c>
      <c r="J154" s="29" t="n">
        <v>73691.15882</v>
      </c>
      <c r="K154" s="7" t="s">
        <v>71</v>
      </c>
      <c r="L154" s="30" t="n">
        <v>0.002</v>
      </c>
      <c r="M154" s="12" t="n">
        <f aca="false">L154*G154*Settings!$B$5</f>
        <v>12941.0516928</v>
      </c>
      <c r="N154" s="31" t="n">
        <f aca="false">(I154-F154)*24</f>
        <v>5.25</v>
      </c>
      <c r="O154" s="12" t="n">
        <v>30.5621348661198</v>
      </c>
      <c r="P154" s="12" t="n">
        <v>14.4626577445458</v>
      </c>
      <c r="Q154" s="12" t="n">
        <f aca="false">2*Calculator!$C$5*M154</f>
        <v>15.270440997504</v>
      </c>
      <c r="R154" s="12" t="n">
        <f aca="false">O154-P154-Q154</f>
        <v>0.829036124069999</v>
      </c>
      <c r="S154" s="12" t="n">
        <f aca="false">O154+2*Calculator!$C$6*M154</f>
        <v>35.7385555432398</v>
      </c>
      <c r="T154" s="12" t="n">
        <f aca="false">S154-2*Calculator!$B$6*M154</f>
        <v>30.5621348661198</v>
      </c>
      <c r="U154" s="12" t="n">
        <f aca="false">2*Calculator!$B$5*M154</f>
        <v>15.270440997504</v>
      </c>
      <c r="V154" s="12" t="n">
        <f aca="false">R154*Calculator!$B$7/Calculator!$C$7</f>
        <v>0.829036124069999</v>
      </c>
      <c r="W154" s="14" t="n">
        <f aca="false">T154-U154-V154</f>
        <v>14.4626577445458</v>
      </c>
      <c r="X154" s="7" t="str">
        <f aca="false">LEFT(A154,7)</f>
        <v>2026-05</v>
      </c>
    </row>
    <row r="155" customFormat="false" ht="15" hidden="false" customHeight="false" outlineLevel="0" collapsed="false">
      <c r="A155" s="7" t="s">
        <v>321</v>
      </c>
      <c r="B155" s="7" t="s">
        <v>205</v>
      </c>
      <c r="C155" s="7" t="s">
        <v>64</v>
      </c>
      <c r="D155" s="7" t="s">
        <v>59</v>
      </c>
      <c r="E155" s="7" t="s">
        <v>66</v>
      </c>
      <c r="F155" s="28" t="n">
        <v>46172.8125</v>
      </c>
      <c r="G155" s="29" t="n">
        <v>73819.66098</v>
      </c>
      <c r="H155" s="29" t="n">
        <v>73636.3795</v>
      </c>
      <c r="I155" s="28" t="n">
        <v>46172.8125</v>
      </c>
      <c r="J155" s="29" t="n">
        <v>73927.391194074</v>
      </c>
      <c r="K155" s="7" t="s">
        <v>69</v>
      </c>
      <c r="L155" s="30" t="n">
        <v>0.006</v>
      </c>
      <c r="M155" s="12" t="n">
        <f aca="false">L155*G155*Settings!$B$5</f>
        <v>38976.78099744</v>
      </c>
      <c r="N155" s="31" t="n">
        <f aca="false">(I155-F155)*24</f>
        <v>0</v>
      </c>
      <c r="O155" s="12" t="n">
        <v>48.7314151447225</v>
      </c>
      <c r="P155" s="12" t="n">
        <v>2.73881356774325</v>
      </c>
      <c r="Q155" s="12" t="n">
        <f aca="false">2*Calculator!$C$5*M155</f>
        <v>45.9926015769792</v>
      </c>
      <c r="R155" s="12" t="n">
        <f aca="false">O155-P155-Q155</f>
        <v>0</v>
      </c>
      <c r="S155" s="12" t="n">
        <f aca="false">O155+2*Calculator!$C$6*M155</f>
        <v>64.3221275436984</v>
      </c>
      <c r="T155" s="12" t="n">
        <f aca="false">S155-2*Calculator!$B$6*M155</f>
        <v>48.7314151447225</v>
      </c>
      <c r="U155" s="12" t="n">
        <f aca="false">2*Calculator!$B$5*M155</f>
        <v>45.9926015769792</v>
      </c>
      <c r="V155" s="12" t="n">
        <f aca="false">R155*Calculator!$B$7/Calculator!$C$7</f>
        <v>0</v>
      </c>
      <c r="W155" s="14" t="n">
        <f aca="false">T155-U155-V155</f>
        <v>2.73881356774325</v>
      </c>
      <c r="X155" s="7" t="str">
        <f aca="false">LEFT(A155,7)</f>
        <v>2026-05</v>
      </c>
    </row>
    <row r="156" customFormat="false" ht="15" hidden="false" customHeight="false" outlineLevel="0" collapsed="false">
      <c r="A156" s="7" t="s">
        <v>322</v>
      </c>
      <c r="B156" s="7" t="s">
        <v>207</v>
      </c>
      <c r="C156" s="7" t="s">
        <v>63</v>
      </c>
      <c r="D156" s="7" t="s">
        <v>60</v>
      </c>
      <c r="E156" s="7" t="s">
        <v>67</v>
      </c>
      <c r="F156" s="28" t="n">
        <v>46173.5625</v>
      </c>
      <c r="G156" s="29" t="n">
        <v>73818.43336</v>
      </c>
      <c r="H156" s="29" t="n">
        <v>74210.14965</v>
      </c>
      <c r="I156" s="28" t="n">
        <v>46173.78125</v>
      </c>
      <c r="J156" s="29" t="n">
        <v>73928.08266</v>
      </c>
      <c r="K156" s="7" t="s">
        <v>71</v>
      </c>
      <c r="L156" s="30" t="n">
        <v>0.002</v>
      </c>
      <c r="M156" s="12" t="n">
        <f aca="false">L156*G156*Settings!$B$5</f>
        <v>12992.04427136</v>
      </c>
      <c r="N156" s="31" t="n">
        <f aca="false">(I156-F156)*24</f>
        <v>5.25</v>
      </c>
      <c r="O156" s="12" t="n">
        <v>-19.2982768000008</v>
      </c>
      <c r="P156" s="12" t="n">
        <v>-35.4814919455136</v>
      </c>
      <c r="Q156" s="12" t="n">
        <f aca="false">2*Calculator!$C$5*M156</f>
        <v>15.3306122402048</v>
      </c>
      <c r="R156" s="12" t="n">
        <f aca="false">O156-P156-Q156</f>
        <v>0.852602905307998</v>
      </c>
      <c r="S156" s="12" t="n">
        <f aca="false">O156+2*Calculator!$C$6*M156</f>
        <v>-14.1014590914568</v>
      </c>
      <c r="T156" s="12" t="n">
        <f aca="false">S156-2*Calculator!$B$6*M156</f>
        <v>-19.2982768000008</v>
      </c>
      <c r="U156" s="12" t="n">
        <f aca="false">2*Calculator!$B$5*M156</f>
        <v>15.3306122402048</v>
      </c>
      <c r="V156" s="12" t="n">
        <f aca="false">R156*Calculator!$B$7/Calculator!$C$7</f>
        <v>0.852602905307998</v>
      </c>
      <c r="W156" s="14" t="n">
        <f aca="false">T156-U156-V156</f>
        <v>-35.4814919455136</v>
      </c>
      <c r="X156" s="7" t="str">
        <f aca="false">LEFT(A156,7)</f>
        <v>2026-05</v>
      </c>
    </row>
    <row r="157" customFormat="false" ht="15" hidden="false" customHeight="false" outlineLevel="0" collapsed="false">
      <c r="A157" s="7" t="s">
        <v>323</v>
      </c>
      <c r="B157" s="7" t="s">
        <v>213</v>
      </c>
      <c r="C157" s="7" t="s">
        <v>64</v>
      </c>
      <c r="D157" s="7" t="s">
        <v>60</v>
      </c>
      <c r="E157" s="7" t="s">
        <v>67</v>
      </c>
      <c r="F157" s="28" t="n">
        <v>46174.8125</v>
      </c>
      <c r="G157" s="29" t="n">
        <v>71684.46024</v>
      </c>
      <c r="H157" s="29" t="n">
        <v>72367.49485</v>
      </c>
      <c r="I157" s="28" t="n">
        <v>46174.875</v>
      </c>
      <c r="J157" s="29" t="n">
        <v>71222.6003242305</v>
      </c>
      <c r="K157" s="7" t="s">
        <v>69</v>
      </c>
      <c r="L157" s="30" t="n">
        <v>0.001</v>
      </c>
      <c r="M157" s="12" t="n">
        <f aca="false">L157*G157*Settings!$B$5</f>
        <v>6308.23250112</v>
      </c>
      <c r="N157" s="31" t="n">
        <f aca="false">(I157-F157)*24</f>
        <v>1.5</v>
      </c>
      <c r="O157" s="12" t="n">
        <v>40.6436725877159</v>
      </c>
      <c r="P157" s="12" t="n">
        <v>33.0816788769983</v>
      </c>
      <c r="Q157" s="12" t="n">
        <f aca="false">2*Calculator!$C$5*M157</f>
        <v>7.4437143513216</v>
      </c>
      <c r="R157" s="12" t="n">
        <f aca="false">O157-P157-Q157</f>
        <v>0.118279359396</v>
      </c>
      <c r="S157" s="12" t="n">
        <f aca="false">O157+2*Calculator!$C$6*M157</f>
        <v>43.1669655881639</v>
      </c>
      <c r="T157" s="12" t="n">
        <f aca="false">S157-2*Calculator!$B$6*M157</f>
        <v>40.6436725877159</v>
      </c>
      <c r="U157" s="12" t="n">
        <f aca="false">2*Calculator!$B$5*M157</f>
        <v>7.4437143513216</v>
      </c>
      <c r="V157" s="12" t="n">
        <f aca="false">R157*Calculator!$B$7/Calculator!$C$7</f>
        <v>0.118279359396</v>
      </c>
      <c r="W157" s="14" t="n">
        <f aca="false">T157-U157-V157</f>
        <v>33.0816788769983</v>
      </c>
      <c r="X157" s="7" t="str">
        <f aca="false">LEFT(A157,7)</f>
        <v>2026-06</v>
      </c>
    </row>
    <row r="158" customFormat="false" ht="15" hidden="false" customHeight="false" outlineLevel="0" collapsed="false">
      <c r="A158" s="7" t="s">
        <v>324</v>
      </c>
      <c r="B158" s="7" t="s">
        <v>209</v>
      </c>
      <c r="C158" s="7" t="s">
        <v>63</v>
      </c>
      <c r="D158" s="7" t="s">
        <v>60</v>
      </c>
      <c r="E158" s="7" t="s">
        <v>66</v>
      </c>
      <c r="F158" s="28" t="n">
        <v>46175.5833333333</v>
      </c>
      <c r="G158" s="29" t="n">
        <v>70011.4995</v>
      </c>
      <c r="H158" s="29" t="n">
        <v>69554.88815</v>
      </c>
      <c r="I158" s="28" t="n">
        <v>46175.6041666667</v>
      </c>
      <c r="J158" s="29" t="n">
        <v>69540.97717237</v>
      </c>
      <c r="K158" s="7" t="s">
        <v>70</v>
      </c>
      <c r="L158" s="30" t="n">
        <v>0.002</v>
      </c>
      <c r="M158" s="12" t="n">
        <f aca="false">L158*G158*Settings!$B$5</f>
        <v>12322.023912</v>
      </c>
      <c r="N158" s="31" t="n">
        <f aca="false">(I158-F158)*24</f>
        <v>0.499999999534167</v>
      </c>
      <c r="O158" s="12" t="n">
        <v>-82.8119296628791</v>
      </c>
      <c r="P158" s="12" t="n">
        <v>-97.4289305284891</v>
      </c>
      <c r="Q158" s="12" t="n">
        <f aca="false">2*Calculator!$C$5*M158</f>
        <v>14.53998821616</v>
      </c>
      <c r="R158" s="12" t="n">
        <f aca="false">O158-P158-Q158</f>
        <v>0.0770126494499781</v>
      </c>
      <c r="S158" s="12" t="n">
        <f aca="false">O158+2*Calculator!$C$6*M158</f>
        <v>-77.8831200980791</v>
      </c>
      <c r="T158" s="12" t="n">
        <f aca="false">S158-2*Calculator!$B$6*M158</f>
        <v>-82.8119296628791</v>
      </c>
      <c r="U158" s="12" t="n">
        <f aca="false">2*Calculator!$B$5*M158</f>
        <v>14.53998821616</v>
      </c>
      <c r="V158" s="12" t="n">
        <f aca="false">R158*Calculator!$B$7/Calculator!$C$7</f>
        <v>0.0770126494499781</v>
      </c>
      <c r="W158" s="14" t="n">
        <f aca="false">T158-U158-V158</f>
        <v>-97.4289305284891</v>
      </c>
      <c r="X158" s="7" t="str">
        <f aca="false">LEFT(A158,7)</f>
        <v>2026-06</v>
      </c>
    </row>
    <row r="159" customFormat="false" ht="15" hidden="false" customHeight="false" outlineLevel="0" collapsed="false">
      <c r="A159" s="7" t="s">
        <v>324</v>
      </c>
      <c r="B159" s="7" t="s">
        <v>209</v>
      </c>
      <c r="C159" s="7" t="s">
        <v>64</v>
      </c>
      <c r="D159" s="7" t="s">
        <v>61</v>
      </c>
      <c r="E159" s="7" t="s">
        <v>67</v>
      </c>
      <c r="F159" s="28" t="n">
        <v>46175.84375</v>
      </c>
      <c r="G159" s="29" t="n">
        <v>67986.30002</v>
      </c>
      <c r="H159" s="29" t="n">
        <v>68849.119</v>
      </c>
      <c r="I159" s="28" t="n">
        <v>46175.875</v>
      </c>
      <c r="J159" s="29" t="n">
        <v>67264.654985949</v>
      </c>
      <c r="K159" s="7" t="s">
        <v>69</v>
      </c>
      <c r="L159" s="30" t="n">
        <v>0.001</v>
      </c>
      <c r="M159" s="12" t="n">
        <f aca="false">L159*G159*Settings!$B$5</f>
        <v>5982.79440176</v>
      </c>
      <c r="N159" s="31" t="n">
        <f aca="false">(I159-F159)*24</f>
        <v>0.75</v>
      </c>
      <c r="O159" s="12" t="n">
        <v>63.5047629964885</v>
      </c>
      <c r="P159" s="12" t="n">
        <v>56.3889769048952</v>
      </c>
      <c r="Q159" s="12" t="n">
        <f aca="false">2*Calculator!$C$5*M159</f>
        <v>7.0596973940768</v>
      </c>
      <c r="R159" s="12" t="n">
        <f aca="false">O159-P159-Q159</f>
        <v>0.0560886975164996</v>
      </c>
      <c r="S159" s="12" t="n">
        <f aca="false">O159+2*Calculator!$C$6*M159</f>
        <v>65.8978807571925</v>
      </c>
      <c r="T159" s="12" t="n">
        <f aca="false">S159-2*Calculator!$B$6*M159</f>
        <v>63.5047629964885</v>
      </c>
      <c r="U159" s="12" t="n">
        <f aca="false">2*Calculator!$B$5*M159</f>
        <v>7.0596973940768</v>
      </c>
      <c r="V159" s="12" t="n">
        <f aca="false">R159*Calculator!$B$7/Calculator!$C$7</f>
        <v>0.0560886975164996</v>
      </c>
      <c r="W159" s="14" t="n">
        <f aca="false">T159-U159-V159</f>
        <v>56.3889769048952</v>
      </c>
      <c r="X159" s="7" t="str">
        <f aca="false">LEFT(A159,7)</f>
        <v>2026-06</v>
      </c>
    </row>
    <row r="160" customFormat="false" ht="15" hidden="false" customHeight="false" outlineLevel="0" collapsed="false">
      <c r="A160" s="7" t="s">
        <v>325</v>
      </c>
      <c r="B160" s="7" t="s">
        <v>199</v>
      </c>
      <c r="C160" s="7" t="s">
        <v>63</v>
      </c>
      <c r="D160" s="7" t="s">
        <v>60</v>
      </c>
      <c r="E160" s="7" t="s">
        <v>67</v>
      </c>
      <c r="F160" s="28" t="n">
        <v>46176.5625</v>
      </c>
      <c r="G160" s="29" t="n">
        <v>67173.26266</v>
      </c>
      <c r="H160" s="29" t="n">
        <v>67553.8304</v>
      </c>
      <c r="I160" s="28" t="n">
        <v>46176.5833333333</v>
      </c>
      <c r="J160" s="29" t="n">
        <v>67080.955443387</v>
      </c>
      <c r="K160" s="7" t="s">
        <v>69</v>
      </c>
      <c r="L160" s="30" t="n">
        <v>0.002</v>
      </c>
      <c r="M160" s="12" t="n">
        <f aca="false">L160*G160*Settings!$B$5</f>
        <v>11822.49422816</v>
      </c>
      <c r="N160" s="31" t="n">
        <f aca="false">(I160-F160)*24</f>
        <v>0.5</v>
      </c>
      <c r="O160" s="12" t="n">
        <v>23.6891151952419</v>
      </c>
      <c r="P160" s="12" t="n">
        <v>9.68315406431857</v>
      </c>
      <c r="Q160" s="12" t="n">
        <f aca="false">2*Calculator!$C$5*M160</f>
        <v>13.9505431892288</v>
      </c>
      <c r="R160" s="12" t="n">
        <f aca="false">O160-P160-Q160</f>
        <v>0.0554179416945004</v>
      </c>
      <c r="S160" s="12" t="n">
        <f aca="false">O160+2*Calculator!$C$6*M160</f>
        <v>28.4181128865059</v>
      </c>
      <c r="T160" s="12" t="n">
        <f aca="false">S160-2*Calculator!$B$6*M160</f>
        <v>23.6891151952419</v>
      </c>
      <c r="U160" s="12" t="n">
        <f aca="false">2*Calculator!$B$5*M160</f>
        <v>13.9505431892288</v>
      </c>
      <c r="V160" s="12" t="n">
        <f aca="false">R160*Calculator!$B$7/Calculator!$C$7</f>
        <v>0.0554179416945004</v>
      </c>
      <c r="W160" s="14" t="n">
        <f aca="false">T160-U160-V160</f>
        <v>9.68315406431857</v>
      </c>
      <c r="X160" s="7" t="str">
        <f aca="false">LEFT(A160,7)</f>
        <v>2026-06</v>
      </c>
    </row>
    <row r="161" customFormat="false" ht="15" hidden="false" customHeight="false" outlineLevel="0" collapsed="false">
      <c r="A161" s="7" t="s">
        <v>325</v>
      </c>
      <c r="B161" s="7" t="s">
        <v>199</v>
      </c>
      <c r="C161" s="7" t="s">
        <v>64</v>
      </c>
      <c r="D161" s="7" t="s">
        <v>60</v>
      </c>
      <c r="E161" s="7" t="s">
        <v>66</v>
      </c>
      <c r="F161" s="28" t="n">
        <v>46176.8125</v>
      </c>
      <c r="G161" s="29" t="n">
        <v>66898.17696</v>
      </c>
      <c r="H161" s="29" t="n">
        <v>66382.82695</v>
      </c>
      <c r="I161" s="28" t="n">
        <v>46176.8645833333</v>
      </c>
      <c r="J161" s="29" t="n">
        <v>66369.55038461</v>
      </c>
      <c r="K161" s="7" t="s">
        <v>70</v>
      </c>
      <c r="L161" s="30" t="n">
        <v>0.002</v>
      </c>
      <c r="M161" s="12" t="n">
        <f aca="false">L161*G161*Settings!$B$5</f>
        <v>11774.07914496</v>
      </c>
      <c r="N161" s="31" t="n">
        <f aca="false">(I161-F161)*24</f>
        <v>1.25</v>
      </c>
      <c r="O161" s="12" t="n">
        <v>-93.0382772686388</v>
      </c>
      <c r="P161" s="12" t="n">
        <v>-107.115660646332</v>
      </c>
      <c r="Q161" s="12" t="n">
        <f aca="false">2*Calculator!$C$5*M161</f>
        <v>13.8934133910528</v>
      </c>
      <c r="R161" s="12" t="n">
        <f aca="false">O161-P161-Q161</f>
        <v>0.183969986639967</v>
      </c>
      <c r="S161" s="12" t="n">
        <f aca="false">O161+2*Calculator!$C$6*M161</f>
        <v>-88.3286456106548</v>
      </c>
      <c r="T161" s="12" t="n">
        <f aca="false">S161-2*Calculator!$B$6*M161</f>
        <v>-93.0382772686388</v>
      </c>
      <c r="U161" s="12" t="n">
        <f aca="false">2*Calculator!$B$5*M161</f>
        <v>13.8934133910528</v>
      </c>
      <c r="V161" s="12" t="n">
        <f aca="false">R161*Calculator!$B$7/Calculator!$C$7</f>
        <v>0.183969986639967</v>
      </c>
      <c r="W161" s="14" t="n">
        <f aca="false">T161-U161-V161</f>
        <v>-107.115660646332</v>
      </c>
      <c r="X161" s="7" t="str">
        <f aca="false">LEFT(A161,7)</f>
        <v>2026-06</v>
      </c>
    </row>
    <row r="162" customFormat="false" ht="15" hidden="false" customHeight="false" outlineLevel="0" collapsed="false">
      <c r="A162" s="7" t="s">
        <v>326</v>
      </c>
      <c r="B162" s="7" t="s">
        <v>203</v>
      </c>
      <c r="C162" s="7" t="s">
        <v>63</v>
      </c>
      <c r="D162" s="7" t="s">
        <v>59</v>
      </c>
      <c r="E162" s="7" t="s">
        <v>66</v>
      </c>
      <c r="F162" s="28" t="n">
        <v>46178.5625</v>
      </c>
      <c r="G162" s="29" t="n">
        <v>63088.1151</v>
      </c>
      <c r="H162" s="29" t="n">
        <v>62775.59515</v>
      </c>
      <c r="I162" s="28" t="n">
        <v>46178.5625</v>
      </c>
      <c r="J162" s="29" t="n">
        <v>62763.04003097</v>
      </c>
      <c r="K162" s="7" t="s">
        <v>70</v>
      </c>
      <c r="L162" s="30" t="n">
        <v>0.003</v>
      </c>
      <c r="M162" s="12" t="n">
        <f aca="false">L162*G162*Settings!$B$5</f>
        <v>16655.2623864</v>
      </c>
      <c r="N162" s="31" t="n">
        <f aca="false">(I162-F162)*24</f>
        <v>0</v>
      </c>
      <c r="O162" s="12" t="n">
        <v>-85.8198182239155</v>
      </c>
      <c r="P162" s="12" t="n">
        <v>-105.473027839868</v>
      </c>
      <c r="Q162" s="12" t="n">
        <f aca="false">2*Calculator!$C$5*M162</f>
        <v>19.653209615952</v>
      </c>
      <c r="R162" s="12" t="n">
        <f aca="false">O162-P162-Q162</f>
        <v>0</v>
      </c>
      <c r="S162" s="12" t="n">
        <f aca="false">O162+2*Calculator!$C$6*M162</f>
        <v>-79.1577132693555</v>
      </c>
      <c r="T162" s="12" t="n">
        <f aca="false">S162-2*Calculator!$B$6*M162</f>
        <v>-85.8198182239155</v>
      </c>
      <c r="U162" s="12" t="n">
        <f aca="false">2*Calculator!$B$5*M162</f>
        <v>19.653209615952</v>
      </c>
      <c r="V162" s="12" t="n">
        <f aca="false">R162*Calculator!$B$7/Calculator!$C$7</f>
        <v>0</v>
      </c>
      <c r="W162" s="14" t="n">
        <f aca="false">T162-U162-V162</f>
        <v>-105.473027839868</v>
      </c>
      <c r="X162" s="7" t="str">
        <f aca="false">LEFT(A162,7)</f>
        <v>2026-06</v>
      </c>
    </row>
    <row r="163" customFormat="false" ht="15" hidden="false" customHeight="false" outlineLevel="0" collapsed="false">
      <c r="A163" s="7" t="s">
        <v>326</v>
      </c>
      <c r="B163" s="7" t="s">
        <v>203</v>
      </c>
      <c r="C163" s="7" t="s">
        <v>64</v>
      </c>
      <c r="D163" s="7" t="s">
        <v>59</v>
      </c>
      <c r="E163" s="7" t="s">
        <v>67</v>
      </c>
      <c r="F163" s="28" t="n">
        <v>46178.8125</v>
      </c>
      <c r="G163" s="29" t="n">
        <v>60688.25992</v>
      </c>
      <c r="H163" s="29" t="n">
        <v>61737.36735</v>
      </c>
      <c r="I163" s="28" t="n">
        <v>46178.875</v>
      </c>
      <c r="J163" s="29" t="n">
        <v>60280.1304728715</v>
      </c>
      <c r="K163" s="7" t="s">
        <v>69</v>
      </c>
      <c r="L163" s="30" t="n">
        <v>0.001</v>
      </c>
      <c r="M163" s="12" t="n">
        <f aca="false">L163*G163*Settings!$B$5</f>
        <v>5340.56687296</v>
      </c>
      <c r="N163" s="31" t="n">
        <f aca="false">(I163-F163)*24</f>
        <v>1.5</v>
      </c>
      <c r="O163" s="12" t="n">
        <v>35.915391347308</v>
      </c>
      <c r="P163" s="12" t="n">
        <v>29.5133868083472</v>
      </c>
      <c r="Q163" s="12" t="n">
        <f aca="false">2*Calculator!$C$5*M163</f>
        <v>6.3018689100928</v>
      </c>
      <c r="R163" s="12" t="n">
        <f aca="false">O163-P163-Q163</f>
        <v>0.100135628868002</v>
      </c>
      <c r="S163" s="12" t="n">
        <f aca="false">O163+2*Calculator!$C$6*M163</f>
        <v>38.051618096492</v>
      </c>
      <c r="T163" s="12" t="n">
        <f aca="false">S163-2*Calculator!$B$6*M163</f>
        <v>35.915391347308</v>
      </c>
      <c r="U163" s="12" t="n">
        <f aca="false">2*Calculator!$B$5*M163</f>
        <v>6.3018689100928</v>
      </c>
      <c r="V163" s="12" t="n">
        <f aca="false">R163*Calculator!$B$7/Calculator!$C$7</f>
        <v>0.100135628868002</v>
      </c>
      <c r="W163" s="14" t="n">
        <f aca="false">T163-U163-V163</f>
        <v>29.5133868083472</v>
      </c>
      <c r="X163" s="7" t="str">
        <f aca="false">LEFT(A163,7)</f>
        <v>2026-06</v>
      </c>
    </row>
    <row r="164" customFormat="false" ht="15" hidden="false" customHeight="false" outlineLevel="0" collapsed="false">
      <c r="A164" s="7" t="s">
        <v>327</v>
      </c>
      <c r="B164" s="7" t="s">
        <v>205</v>
      </c>
      <c r="C164" s="7" t="s">
        <v>63</v>
      </c>
      <c r="D164" s="7" t="s">
        <v>60</v>
      </c>
      <c r="E164" s="7" t="s">
        <v>67</v>
      </c>
      <c r="F164" s="28" t="n">
        <v>46179.5625</v>
      </c>
      <c r="G164" s="29" t="n">
        <v>60963.00496</v>
      </c>
      <c r="H164" s="29" t="n">
        <v>61344.815</v>
      </c>
      <c r="I164" s="28" t="n">
        <v>46179.5729166667</v>
      </c>
      <c r="J164" s="29" t="n">
        <v>61357.083963</v>
      </c>
      <c r="K164" s="7" t="s">
        <v>70</v>
      </c>
      <c r="L164" s="30" t="n">
        <v>0.002</v>
      </c>
      <c r="M164" s="12" t="n">
        <f aca="false">L164*G164*Settings!$B$5</f>
        <v>10729.48887296</v>
      </c>
      <c r="N164" s="31" t="n">
        <f aca="false">(I164-F164)*24</f>
        <v>0.25</v>
      </c>
      <c r="O164" s="12" t="n">
        <v>-69.3579045279998</v>
      </c>
      <c r="P164" s="12" t="n">
        <v>-82.0522310508206</v>
      </c>
      <c r="Q164" s="12" t="n">
        <f aca="false">2*Calculator!$C$5*M164</f>
        <v>12.6607968700928</v>
      </c>
      <c r="R164" s="12" t="n">
        <f aca="false">O164-P164-Q164</f>
        <v>0.0335296527280011</v>
      </c>
      <c r="S164" s="12" t="n">
        <f aca="false">O164+2*Calculator!$C$6*M164</f>
        <v>-65.0661089788158</v>
      </c>
      <c r="T164" s="12" t="n">
        <f aca="false">S164-2*Calculator!$B$6*M164</f>
        <v>-69.3579045279998</v>
      </c>
      <c r="U164" s="12" t="n">
        <f aca="false">2*Calculator!$B$5*M164</f>
        <v>12.6607968700928</v>
      </c>
      <c r="V164" s="12" t="n">
        <f aca="false">R164*Calculator!$B$7/Calculator!$C$7</f>
        <v>0.0335296527280011</v>
      </c>
      <c r="W164" s="14" t="n">
        <f aca="false">T164-U164-V164</f>
        <v>-82.0522310508206</v>
      </c>
      <c r="X164" s="7" t="str">
        <f aca="false">LEFT(A164,7)</f>
        <v>2026-06</v>
      </c>
    </row>
    <row r="165" customFormat="false" ht="15" hidden="false" customHeight="false" outlineLevel="0" collapsed="false">
      <c r="A165" s="7" t="s">
        <v>327</v>
      </c>
      <c r="B165" s="7" t="s">
        <v>205</v>
      </c>
      <c r="C165" s="7" t="s">
        <v>64</v>
      </c>
      <c r="D165" s="7" t="s">
        <v>60</v>
      </c>
      <c r="E165" s="7" t="s">
        <v>67</v>
      </c>
      <c r="F165" s="28" t="n">
        <v>46179.8125</v>
      </c>
      <c r="G165" s="29" t="n">
        <v>60767.3441</v>
      </c>
      <c r="H165" s="29" t="n">
        <v>61148.43525</v>
      </c>
      <c r="I165" s="28" t="n">
        <v>46179.8645833333</v>
      </c>
      <c r="J165" s="29" t="n">
        <v>60627.5958820575</v>
      </c>
      <c r="K165" s="7" t="s">
        <v>69</v>
      </c>
      <c r="L165" s="30" t="n">
        <v>0.002</v>
      </c>
      <c r="M165" s="12" t="n">
        <f aca="false">L165*G165*Settings!$B$5</f>
        <v>10695.0525616</v>
      </c>
      <c r="N165" s="31" t="n">
        <f aca="false">(I165-F165)*24</f>
        <v>1.25</v>
      </c>
      <c r="O165" s="12" t="n">
        <v>27.9997021249003</v>
      </c>
      <c r="P165" s="12" t="n">
        <v>15.2291409255648</v>
      </c>
      <c r="Q165" s="12" t="n">
        <f aca="false">2*Calculator!$C$5*M165</f>
        <v>12.620162022688</v>
      </c>
      <c r="R165" s="12" t="n">
        <f aca="false">O165-P165-Q165</f>
        <v>0.150399176647499</v>
      </c>
      <c r="S165" s="12" t="n">
        <f aca="false">O165+2*Calculator!$C$6*M165</f>
        <v>32.2777231495403</v>
      </c>
      <c r="T165" s="12" t="n">
        <f aca="false">S165-2*Calculator!$B$6*M165</f>
        <v>27.9997021249003</v>
      </c>
      <c r="U165" s="12" t="n">
        <f aca="false">2*Calculator!$B$5*M165</f>
        <v>12.620162022688</v>
      </c>
      <c r="V165" s="12" t="n">
        <f aca="false">R165*Calculator!$B$7/Calculator!$C$7</f>
        <v>0.150399176647499</v>
      </c>
      <c r="W165" s="14" t="n">
        <f aca="false">T165-U165-V165</f>
        <v>15.2291409255648</v>
      </c>
      <c r="X165" s="7" t="str">
        <f aca="false">LEFT(A165,7)</f>
        <v>2026-06</v>
      </c>
    </row>
    <row r="166" customFormat="false" ht="15" hidden="false" customHeight="false" outlineLevel="0" collapsed="false">
      <c r="A166" s="7" t="s">
        <v>328</v>
      </c>
      <c r="B166" s="7" t="s">
        <v>207</v>
      </c>
      <c r="C166" s="7" t="s">
        <v>63</v>
      </c>
      <c r="D166" s="7" t="s">
        <v>59</v>
      </c>
      <c r="E166" s="7" t="s">
        <v>66</v>
      </c>
      <c r="F166" s="28" t="n">
        <v>46180.5625</v>
      </c>
      <c r="G166" s="29" t="n">
        <v>62378.4732</v>
      </c>
      <c r="H166" s="29" t="n">
        <v>62145.94105</v>
      </c>
      <c r="I166" s="28" t="n">
        <v>46180.5833333333</v>
      </c>
      <c r="J166" s="29" t="n">
        <v>62483.2678091075</v>
      </c>
      <c r="K166" s="7" t="s">
        <v>69</v>
      </c>
      <c r="L166" s="30" t="n">
        <v>0.004</v>
      </c>
      <c r="M166" s="12" t="n">
        <f aca="false">L166*G166*Settings!$B$5</f>
        <v>21957.2225664</v>
      </c>
      <c r="N166" s="31" t="n">
        <f aca="false">(I166-F166)*24</f>
        <v>0.5</v>
      </c>
      <c r="O166" s="12" t="n">
        <v>36.7068655804414</v>
      </c>
      <c r="P166" s="12" t="n">
        <v>10.6944184713094</v>
      </c>
      <c r="Q166" s="12" t="n">
        <f aca="false">2*Calculator!$C$5*M166</f>
        <v>25.909522628352</v>
      </c>
      <c r="R166" s="12" t="n">
        <f aca="false">O166-P166-Q166</f>
        <v>0.102924480780001</v>
      </c>
      <c r="S166" s="12" t="n">
        <f aca="false">O166+2*Calculator!$C$6*M166</f>
        <v>45.4897546070014</v>
      </c>
      <c r="T166" s="12" t="n">
        <f aca="false">S166-2*Calculator!$B$6*M166</f>
        <v>36.7068655804414</v>
      </c>
      <c r="U166" s="12" t="n">
        <f aca="false">2*Calculator!$B$5*M166</f>
        <v>25.909522628352</v>
      </c>
      <c r="V166" s="12" t="n">
        <f aca="false">R166*Calculator!$B$7/Calculator!$C$7</f>
        <v>0.102924480780001</v>
      </c>
      <c r="W166" s="14" t="n">
        <f aca="false">T166-U166-V166</f>
        <v>10.6944184713094</v>
      </c>
      <c r="X166" s="7" t="str">
        <f aca="false">LEFT(A166,7)</f>
        <v>2026-06</v>
      </c>
    </row>
    <row r="167" customFormat="false" ht="15" hidden="false" customHeight="false" outlineLevel="0" collapsed="false">
      <c r="A167" s="7" t="s">
        <v>329</v>
      </c>
      <c r="B167" s="7" t="s">
        <v>209</v>
      </c>
      <c r="C167" s="7" t="s">
        <v>63</v>
      </c>
      <c r="D167" s="7" t="s">
        <v>60</v>
      </c>
      <c r="E167" s="7" t="s">
        <v>67</v>
      </c>
      <c r="F167" s="28" t="n">
        <v>46182.5625</v>
      </c>
      <c r="G167" s="29" t="n">
        <v>63158.26582</v>
      </c>
      <c r="H167" s="29" t="n">
        <v>63464.00865</v>
      </c>
      <c r="I167" s="28" t="n">
        <v>46182.5625</v>
      </c>
      <c r="J167" s="29" t="n">
        <v>62734.9801946415</v>
      </c>
      <c r="K167" s="7" t="s">
        <v>69</v>
      </c>
      <c r="L167" s="30" t="n">
        <v>0.003</v>
      </c>
      <c r="M167" s="12" t="n">
        <f aca="false">L167*G167*Settings!$B$5</f>
        <v>16673.78217648</v>
      </c>
      <c r="N167" s="31" t="n">
        <f aca="false">(I167-F167)*24</f>
        <v>0</v>
      </c>
      <c r="O167" s="12" t="n">
        <v>86.8420596415676</v>
      </c>
      <c r="P167" s="12" t="n">
        <v>67.1669966733212</v>
      </c>
      <c r="Q167" s="12" t="n">
        <f aca="false">2*Calculator!$C$5*M167</f>
        <v>19.6750629682464</v>
      </c>
      <c r="R167" s="12" t="n">
        <f aca="false">O167-P167-Q167</f>
        <v>0</v>
      </c>
      <c r="S167" s="12" t="n">
        <f aca="false">O167+2*Calculator!$C$6*M167</f>
        <v>93.5115725121596</v>
      </c>
      <c r="T167" s="12" t="n">
        <f aca="false">S167-2*Calculator!$B$6*M167</f>
        <v>86.8420596415676</v>
      </c>
      <c r="U167" s="12" t="n">
        <f aca="false">2*Calculator!$B$5*M167</f>
        <v>19.6750629682464</v>
      </c>
      <c r="V167" s="12" t="n">
        <f aca="false">R167*Calculator!$B$7/Calculator!$C$7</f>
        <v>0</v>
      </c>
      <c r="W167" s="14" t="n">
        <f aca="false">T167-U167-V167</f>
        <v>67.1669966733212</v>
      </c>
      <c r="X167" s="7" t="str">
        <f aca="false">LEFT(A167,7)</f>
        <v>2026-06</v>
      </c>
    </row>
    <row r="168" customFormat="false" ht="15" hidden="false" customHeight="false" outlineLevel="0" collapsed="false">
      <c r="A168" s="7" t="s">
        <v>329</v>
      </c>
      <c r="B168" s="7" t="s">
        <v>209</v>
      </c>
      <c r="C168" s="7" t="s">
        <v>64</v>
      </c>
      <c r="D168" s="7" t="s">
        <v>60</v>
      </c>
      <c r="E168" s="7" t="s">
        <v>67</v>
      </c>
      <c r="F168" s="28" t="n">
        <v>46182.8125</v>
      </c>
      <c r="G168" s="29" t="n">
        <v>62231.95112</v>
      </c>
      <c r="H168" s="29" t="n">
        <v>62766.3834</v>
      </c>
      <c r="I168" s="28" t="n">
        <v>46182.8229166667</v>
      </c>
      <c r="J168" s="29" t="n">
        <v>62046.014791614</v>
      </c>
      <c r="K168" s="7" t="s">
        <v>69</v>
      </c>
      <c r="L168" s="30" t="n">
        <v>0.002</v>
      </c>
      <c r="M168" s="12" t="n">
        <f aca="false">L168*G168*Settings!$B$5</f>
        <v>10952.82339712</v>
      </c>
      <c r="N168" s="31" t="n">
        <f aca="false">(I168-F168)*24</f>
        <v>0.25</v>
      </c>
      <c r="O168" s="12" t="n">
        <v>38.7868378823212</v>
      </c>
      <c r="P168" s="12" t="n">
        <v>25.8453924871616</v>
      </c>
      <c r="Q168" s="12" t="n">
        <f aca="false">2*Calculator!$C$5*M168</f>
        <v>12.9243316086016</v>
      </c>
      <c r="R168" s="12" t="n">
        <f aca="false">O168-P168-Q168</f>
        <v>0.0171137865579869</v>
      </c>
      <c r="S168" s="12" t="n">
        <f aca="false">O168+2*Calculator!$C$6*M168</f>
        <v>43.1679672411692</v>
      </c>
      <c r="T168" s="12" t="n">
        <f aca="false">S168-2*Calculator!$B$6*M168</f>
        <v>38.7868378823212</v>
      </c>
      <c r="U168" s="12" t="n">
        <f aca="false">2*Calculator!$B$5*M168</f>
        <v>12.9243316086016</v>
      </c>
      <c r="V168" s="12" t="n">
        <f aca="false">R168*Calculator!$B$7/Calculator!$C$7</f>
        <v>0.0171137865579869</v>
      </c>
      <c r="W168" s="14" t="n">
        <f aca="false">T168-U168-V168</f>
        <v>25.8453924871616</v>
      </c>
      <c r="X168" s="7" t="str">
        <f aca="false">LEFT(A168,7)</f>
        <v>2026-06</v>
      </c>
    </row>
    <row r="169" customFormat="false" ht="15" hidden="false" customHeight="false" outlineLevel="0" collapsed="false">
      <c r="A169" s="7" t="s">
        <v>330</v>
      </c>
      <c r="B169" s="7" t="s">
        <v>199</v>
      </c>
      <c r="C169" s="7" t="s">
        <v>64</v>
      </c>
      <c r="D169" s="7" t="s">
        <v>60</v>
      </c>
      <c r="E169" s="7" t="s">
        <v>67</v>
      </c>
      <c r="F169" s="28" t="n">
        <v>46183.8125</v>
      </c>
      <c r="G169" s="29" t="n">
        <v>62111.47522</v>
      </c>
      <c r="H169" s="29" t="n">
        <v>62638.0083</v>
      </c>
      <c r="I169" s="28" t="n">
        <v>46183.8229166667</v>
      </c>
      <c r="J169" s="29" t="n">
        <v>61974.025596654</v>
      </c>
      <c r="K169" s="7" t="s">
        <v>69</v>
      </c>
      <c r="L169" s="30" t="n">
        <v>0.002</v>
      </c>
      <c r="M169" s="12" t="n">
        <f aca="false">L169*G169*Settings!$B$5</f>
        <v>10931.61963872</v>
      </c>
      <c r="N169" s="31" t="n">
        <f aca="false">(I169-F169)*24</f>
        <v>0.25</v>
      </c>
      <c r="O169" s="12" t="n">
        <v>34.1744939016807</v>
      </c>
      <c r="P169" s="12" t="n">
        <v>21.2410214166201</v>
      </c>
      <c r="Q169" s="12" t="n">
        <f aca="false">2*Calculator!$C$5*M169</f>
        <v>12.8993111736896</v>
      </c>
      <c r="R169" s="12" t="n">
        <f aca="false">O169-P169-Q169</f>
        <v>0.0341613113710011</v>
      </c>
      <c r="S169" s="12" t="n">
        <f aca="false">O169+2*Calculator!$C$6*M169</f>
        <v>38.5471417571687</v>
      </c>
      <c r="T169" s="12" t="n">
        <f aca="false">S169-2*Calculator!$B$6*M169</f>
        <v>34.1744939016807</v>
      </c>
      <c r="U169" s="12" t="n">
        <f aca="false">2*Calculator!$B$5*M169</f>
        <v>12.8993111736896</v>
      </c>
      <c r="V169" s="12" t="n">
        <f aca="false">R169*Calculator!$B$7/Calculator!$C$7</f>
        <v>0.0341613113710011</v>
      </c>
      <c r="W169" s="14" t="n">
        <f aca="false">T169-U169-V169</f>
        <v>21.2410214166201</v>
      </c>
      <c r="X169" s="7" t="str">
        <f aca="false">LEFT(A169,7)</f>
        <v>2026-06</v>
      </c>
    </row>
    <row r="170" customFormat="false" ht="15" hidden="false" customHeight="false" outlineLevel="0" collapsed="false">
      <c r="A170" s="7" t="s">
        <v>331</v>
      </c>
      <c r="B170" s="7" t="s">
        <v>201</v>
      </c>
      <c r="C170" s="7" t="s">
        <v>64</v>
      </c>
      <c r="D170" s="7" t="s">
        <v>59</v>
      </c>
      <c r="E170" s="7" t="s">
        <v>66</v>
      </c>
      <c r="F170" s="28" t="n">
        <v>46184.8125</v>
      </c>
      <c r="G170" s="29" t="n">
        <v>63058.70922</v>
      </c>
      <c r="H170" s="29" t="n">
        <v>62845.59</v>
      </c>
      <c r="I170" s="28" t="n">
        <v>46184.8125</v>
      </c>
      <c r="J170" s="29" t="n">
        <v>62833.020882</v>
      </c>
      <c r="K170" s="7" t="s">
        <v>70</v>
      </c>
      <c r="L170" s="30" t="n">
        <v>0.005</v>
      </c>
      <c r="M170" s="12" t="n">
        <f aca="false">L170*G170*Settings!$B$5</f>
        <v>27745.8320568</v>
      </c>
      <c r="N170" s="31" t="n">
        <f aca="false">(I170-F170)*24</f>
        <v>0</v>
      </c>
      <c r="O170" s="12" t="n">
        <v>-99.3028687199968</v>
      </c>
      <c r="P170" s="12" t="n">
        <v>-132.042950547021</v>
      </c>
      <c r="Q170" s="12" t="n">
        <f aca="false">2*Calculator!$C$5*M170</f>
        <v>32.740081827024</v>
      </c>
      <c r="R170" s="12" t="n">
        <f aca="false">O170-P170-Q170</f>
        <v>0</v>
      </c>
      <c r="S170" s="12" t="n">
        <f aca="false">O170+2*Calculator!$C$6*M170</f>
        <v>-88.2045358972768</v>
      </c>
      <c r="T170" s="12" t="n">
        <f aca="false">S170-2*Calculator!$B$6*M170</f>
        <v>-99.3028687199968</v>
      </c>
      <c r="U170" s="12" t="n">
        <f aca="false">2*Calculator!$B$5*M170</f>
        <v>32.740081827024</v>
      </c>
      <c r="V170" s="12" t="n">
        <f aca="false">R170*Calculator!$B$7/Calculator!$C$7</f>
        <v>0</v>
      </c>
      <c r="W170" s="14" t="n">
        <f aca="false">T170-U170-V170</f>
        <v>-132.042950547021</v>
      </c>
      <c r="X170" s="7" t="str">
        <f aca="false">LEFT(A170,7)</f>
        <v>2026-06</v>
      </c>
    </row>
    <row r="171" customFormat="false" ht="15" hidden="false" customHeight="false" outlineLevel="0" collapsed="false">
      <c r="A171" s="7" t="s">
        <v>332</v>
      </c>
      <c r="B171" s="7" t="s">
        <v>207</v>
      </c>
      <c r="C171" s="7" t="s">
        <v>64</v>
      </c>
      <c r="D171" s="7" t="s">
        <v>60</v>
      </c>
      <c r="E171" s="7" t="s">
        <v>67</v>
      </c>
      <c r="F171" s="28" t="n">
        <v>46187.8125</v>
      </c>
      <c r="G171" s="29" t="n">
        <v>64274.54252</v>
      </c>
      <c r="H171" s="29" t="n">
        <v>64644.09525</v>
      </c>
      <c r="I171" s="28" t="n">
        <v>46187.84375</v>
      </c>
      <c r="J171" s="29" t="n">
        <v>63956.1768601365</v>
      </c>
      <c r="K171" s="7" t="s">
        <v>69</v>
      </c>
      <c r="L171" s="30" t="n">
        <v>0.003</v>
      </c>
      <c r="M171" s="12" t="n">
        <f aca="false">L171*G171*Settings!$B$5</f>
        <v>16968.47922528</v>
      </c>
      <c r="N171" s="31" t="n">
        <f aca="false">(I171-F171)*24</f>
        <v>0.75</v>
      </c>
      <c r="O171" s="12" t="n">
        <v>71.1646963716493</v>
      </c>
      <c r="P171" s="12" t="n">
        <v>51.0004868922749</v>
      </c>
      <c r="Q171" s="12" t="n">
        <f aca="false">2*Calculator!$C$5*M171</f>
        <v>20.0228054858304</v>
      </c>
      <c r="R171" s="12" t="n">
        <f aca="false">O171-P171-Q171</f>
        <v>0.141403993543999</v>
      </c>
      <c r="S171" s="12" t="n">
        <f aca="false">O171+2*Calculator!$C$6*M171</f>
        <v>77.9520880617613</v>
      </c>
      <c r="T171" s="12" t="n">
        <f aca="false">S171-2*Calculator!$B$6*M171</f>
        <v>71.1646963716493</v>
      </c>
      <c r="U171" s="12" t="n">
        <f aca="false">2*Calculator!$B$5*M171</f>
        <v>20.0228054858304</v>
      </c>
      <c r="V171" s="12" t="n">
        <f aca="false">R171*Calculator!$B$7/Calculator!$C$7</f>
        <v>0.141403993543999</v>
      </c>
      <c r="W171" s="14" t="n">
        <f aca="false">T171-U171-V171</f>
        <v>51.0004868922749</v>
      </c>
      <c r="X171" s="7" t="str">
        <f aca="false">LEFT(A171,7)</f>
        <v>2026-06</v>
      </c>
    </row>
    <row r="172" customFormat="false" ht="15" hidden="false" customHeight="false" outlineLevel="0" collapsed="false">
      <c r="A172" s="7" t="s">
        <v>333</v>
      </c>
      <c r="B172" s="7" t="s">
        <v>213</v>
      </c>
      <c r="C172" s="7" t="s">
        <v>64</v>
      </c>
      <c r="D172" s="7" t="s">
        <v>60</v>
      </c>
      <c r="E172" s="7" t="s">
        <v>66</v>
      </c>
      <c r="F172" s="28" t="n">
        <v>46188.8229166667</v>
      </c>
      <c r="G172" s="29" t="n">
        <v>66429.68328</v>
      </c>
      <c r="H172" s="29" t="n">
        <v>66109.5622</v>
      </c>
      <c r="I172" s="28" t="n">
        <v>46188.84375</v>
      </c>
      <c r="J172" s="29" t="n">
        <v>66553.456376054</v>
      </c>
      <c r="K172" s="7" t="s">
        <v>69</v>
      </c>
      <c r="L172" s="30" t="n">
        <v>0.003</v>
      </c>
      <c r="M172" s="12" t="n">
        <f aca="false">L172*G172*Settings!$B$5</f>
        <v>17537.43638592</v>
      </c>
      <c r="N172" s="31" t="n">
        <f aca="false">(I172-F172)*24</f>
        <v>0.5</v>
      </c>
      <c r="O172" s="12" t="n">
        <v>34.6974129342736</v>
      </c>
      <c r="P172" s="12" t="n">
        <v>13.893629021476</v>
      </c>
      <c r="Q172" s="12" t="n">
        <f aca="false">2*Calculator!$C$5*M172</f>
        <v>20.6941749353856</v>
      </c>
      <c r="R172" s="12" t="n">
        <f aca="false">O172-P172-Q172</f>
        <v>0.109608977411998</v>
      </c>
      <c r="S172" s="12" t="n">
        <f aca="false">O172+2*Calculator!$C$6*M172</f>
        <v>41.7123874886416</v>
      </c>
      <c r="T172" s="12" t="n">
        <f aca="false">S172-2*Calculator!$B$6*M172</f>
        <v>34.6974129342736</v>
      </c>
      <c r="U172" s="12" t="n">
        <f aca="false">2*Calculator!$B$5*M172</f>
        <v>20.6941749353856</v>
      </c>
      <c r="V172" s="12" t="n">
        <f aca="false">R172*Calculator!$B$7/Calculator!$C$7</f>
        <v>0.109608977411998</v>
      </c>
      <c r="W172" s="14" t="n">
        <f aca="false">T172-U172-V172</f>
        <v>13.893629021476</v>
      </c>
      <c r="X172" s="7" t="str">
        <f aca="false">LEFT(A172,7)</f>
        <v>2026-06</v>
      </c>
    </row>
    <row r="173" customFormat="false" ht="15" hidden="false" customHeight="false" outlineLevel="0" collapsed="false">
      <c r="A173" s="7" t="s">
        <v>334</v>
      </c>
      <c r="B173" s="7" t="s">
        <v>209</v>
      </c>
      <c r="C173" s="7" t="s">
        <v>63</v>
      </c>
      <c r="D173" s="7" t="s">
        <v>60</v>
      </c>
      <c r="E173" s="7" t="s">
        <v>66</v>
      </c>
      <c r="F173" s="28" t="n">
        <v>46189.5625</v>
      </c>
      <c r="G173" s="29" t="n">
        <v>66355.06836</v>
      </c>
      <c r="H173" s="29" t="n">
        <v>65981.74</v>
      </c>
      <c r="I173" s="28" t="n">
        <v>46189.59375</v>
      </c>
      <c r="J173" s="29" t="n">
        <v>66518.361576418</v>
      </c>
      <c r="K173" s="7" t="s">
        <v>69</v>
      </c>
      <c r="L173" s="30" t="n">
        <v>0.003</v>
      </c>
      <c r="M173" s="12" t="n">
        <f aca="false">L173*G173*Settings!$B$5</f>
        <v>17517.73804704</v>
      </c>
      <c r="N173" s="31" t="n">
        <f aca="false">(I173-F173)*24</f>
        <v>0.75</v>
      </c>
      <c r="O173" s="12" t="n">
        <v>43.9949194368626</v>
      </c>
      <c r="P173" s="12" t="n">
        <v>23.1962550347624</v>
      </c>
      <c r="Q173" s="12" t="n">
        <f aca="false">2*Calculator!$C$5*M173</f>
        <v>20.6709308955072</v>
      </c>
      <c r="R173" s="12" t="n">
        <f aca="false">O173-P173-Q173</f>
        <v>0.127733506592996</v>
      </c>
      <c r="S173" s="12" t="n">
        <f aca="false">O173+2*Calculator!$C$6*M173</f>
        <v>51.0020146556786</v>
      </c>
      <c r="T173" s="12" t="n">
        <f aca="false">S173-2*Calculator!$B$6*M173</f>
        <v>43.9949194368626</v>
      </c>
      <c r="U173" s="12" t="n">
        <f aca="false">2*Calculator!$B$5*M173</f>
        <v>20.6709308955072</v>
      </c>
      <c r="V173" s="12" t="n">
        <f aca="false">R173*Calculator!$B$7/Calculator!$C$7</f>
        <v>0.127733506592996</v>
      </c>
      <c r="W173" s="14" t="n">
        <f aca="false">T173-U173-V173</f>
        <v>23.1962550347624</v>
      </c>
      <c r="X173" s="7" t="str">
        <f aca="false">LEFT(A173,7)</f>
        <v>2026-06</v>
      </c>
    </row>
    <row r="174" customFormat="false" ht="15" hidden="false" customHeight="false" outlineLevel="0" collapsed="false">
      <c r="A174" s="7" t="s">
        <v>334</v>
      </c>
      <c r="B174" s="7" t="s">
        <v>209</v>
      </c>
      <c r="C174" s="7" t="s">
        <v>64</v>
      </c>
      <c r="D174" s="7" t="s">
        <v>60</v>
      </c>
      <c r="E174" s="7" t="s">
        <v>67</v>
      </c>
      <c r="F174" s="28" t="n">
        <v>46189.8125</v>
      </c>
      <c r="G174" s="29" t="n">
        <v>65999.59744</v>
      </c>
      <c r="H174" s="29" t="n">
        <v>66434.6165</v>
      </c>
      <c r="I174" s="28" t="n">
        <v>46189.8333333333</v>
      </c>
      <c r="J174" s="29" t="n">
        <v>65582.968735953</v>
      </c>
      <c r="K174" s="7" t="s">
        <v>69</v>
      </c>
      <c r="L174" s="30" t="n">
        <v>0.002</v>
      </c>
      <c r="M174" s="12" t="n">
        <f aca="false">L174*G174*Settings!$B$5</f>
        <v>11615.92914944</v>
      </c>
      <c r="N174" s="31" t="n">
        <f aca="false">(I174-F174)*24</f>
        <v>0.5</v>
      </c>
      <c r="O174" s="12" t="n">
        <v>54.6463998489205</v>
      </c>
      <c r="P174" s="12" t="n">
        <v>40.8851537846933</v>
      </c>
      <c r="Q174" s="12" t="n">
        <f aca="false">2*Calculator!$C$5*M174</f>
        <v>13.7067963963392</v>
      </c>
      <c r="R174" s="12" t="n">
        <f aca="false">O174-P174-Q174</f>
        <v>0.0544496678880009</v>
      </c>
      <c r="S174" s="12" t="n">
        <f aca="false">O174+2*Calculator!$C$6*M174</f>
        <v>59.2927715086965</v>
      </c>
      <c r="T174" s="12" t="n">
        <f aca="false">S174-2*Calculator!$B$6*M174</f>
        <v>54.6463998489205</v>
      </c>
      <c r="U174" s="12" t="n">
        <f aca="false">2*Calculator!$B$5*M174</f>
        <v>13.7067963963392</v>
      </c>
      <c r="V174" s="12" t="n">
        <f aca="false">R174*Calculator!$B$7/Calculator!$C$7</f>
        <v>0.0544496678880009</v>
      </c>
      <c r="W174" s="14" t="n">
        <f aca="false">T174-U174-V174</f>
        <v>40.8851537846933</v>
      </c>
      <c r="X174" s="7" t="str">
        <f aca="false">LEFT(A174,7)</f>
        <v>2026-06</v>
      </c>
    </row>
    <row r="175" customFormat="false" ht="15" hidden="false" customHeight="false" outlineLevel="0" collapsed="false">
      <c r="A175" s="7" t="s">
        <v>335</v>
      </c>
      <c r="B175" s="7" t="s">
        <v>199</v>
      </c>
      <c r="C175" s="7" t="s">
        <v>63</v>
      </c>
      <c r="D175" s="7" t="s">
        <v>60</v>
      </c>
      <c r="E175" s="7" t="s">
        <v>67</v>
      </c>
      <c r="F175" s="28" t="n">
        <v>46190.5625</v>
      </c>
      <c r="G175" s="29" t="n">
        <v>65490.79922</v>
      </c>
      <c r="H175" s="29" t="n">
        <v>65847.5867</v>
      </c>
      <c r="I175" s="28" t="n">
        <v>46190.59375</v>
      </c>
      <c r="J175" s="29" t="n">
        <v>64977.189709374</v>
      </c>
      <c r="K175" s="7" t="s">
        <v>69</v>
      </c>
      <c r="L175" s="30" t="n">
        <v>0.003</v>
      </c>
      <c r="M175" s="12" t="n">
        <f aca="false">L175*G175*Settings!$B$5</f>
        <v>17289.57099408</v>
      </c>
      <c r="N175" s="31" t="n">
        <f aca="false">(I175-F175)*24</f>
        <v>0.75</v>
      </c>
      <c r="O175" s="12" t="n">
        <v>104.944424653729</v>
      </c>
      <c r="P175" s="12" t="n">
        <v>84.4346710620012</v>
      </c>
      <c r="Q175" s="12" t="n">
        <f aca="false">2*Calculator!$C$5*M175</f>
        <v>20.4016937730144</v>
      </c>
      <c r="R175" s="12" t="n">
        <f aca="false">O175-P175-Q175</f>
        <v>0.108059818712974</v>
      </c>
      <c r="S175" s="12" t="n">
        <f aca="false">O175+2*Calculator!$C$6*M175</f>
        <v>111.860253051361</v>
      </c>
      <c r="T175" s="12" t="n">
        <f aca="false">S175-2*Calculator!$B$6*M175</f>
        <v>104.944424653729</v>
      </c>
      <c r="U175" s="12" t="n">
        <f aca="false">2*Calculator!$B$5*M175</f>
        <v>20.4016937730144</v>
      </c>
      <c r="V175" s="12" t="n">
        <f aca="false">R175*Calculator!$B$7/Calculator!$C$7</f>
        <v>0.108059818712974</v>
      </c>
      <c r="W175" s="14" t="n">
        <f aca="false">T175-U175-V175</f>
        <v>84.4346710620012</v>
      </c>
      <c r="X175" s="7" t="str">
        <f aca="false">LEFT(A175,7)</f>
        <v>2026-06</v>
      </c>
    </row>
    <row r="176" customFormat="false" ht="15" hidden="false" customHeight="false" outlineLevel="0" collapsed="false">
      <c r="A176" s="7" t="s">
        <v>335</v>
      </c>
      <c r="B176" s="7" t="s">
        <v>199</v>
      </c>
      <c r="C176" s="7" t="s">
        <v>64</v>
      </c>
      <c r="D176" s="7" t="s">
        <v>60</v>
      </c>
      <c r="E176" s="7" t="s">
        <v>67</v>
      </c>
      <c r="F176" s="28" t="n">
        <v>46190.8125</v>
      </c>
      <c r="G176" s="29" t="n">
        <v>65219.55348</v>
      </c>
      <c r="H176" s="29" t="n">
        <v>65598.8725</v>
      </c>
      <c r="I176" s="28" t="n">
        <v>46190.84375</v>
      </c>
      <c r="J176" s="29" t="n">
        <v>65120.051160951</v>
      </c>
      <c r="K176" s="7" t="s">
        <v>69</v>
      </c>
      <c r="L176" s="30" t="n">
        <v>0.002</v>
      </c>
      <c r="M176" s="12" t="n">
        <f aca="false">L176*G176*Settings!$B$5</f>
        <v>11478.64141248</v>
      </c>
      <c r="N176" s="31" t="n">
        <f aca="false">(I176-F176)*24</f>
        <v>0.75</v>
      </c>
      <c r="O176" s="12" t="n">
        <v>24.3017148224409</v>
      </c>
      <c r="P176" s="12" t="n">
        <v>10.6672410696795</v>
      </c>
      <c r="Q176" s="12" t="n">
        <f aca="false">2*Calculator!$C$5*M176</f>
        <v>13.5447968667264</v>
      </c>
      <c r="R176" s="12" t="n">
        <f aca="false">O176-P176-Q176</f>
        <v>0.0896768860349972</v>
      </c>
      <c r="S176" s="12" t="n">
        <f aca="false">O176+2*Calculator!$C$6*M176</f>
        <v>28.8931713874329</v>
      </c>
      <c r="T176" s="12" t="n">
        <f aca="false">S176-2*Calculator!$B$6*M176</f>
        <v>24.3017148224409</v>
      </c>
      <c r="U176" s="12" t="n">
        <f aca="false">2*Calculator!$B$5*M176</f>
        <v>13.5447968667264</v>
      </c>
      <c r="V176" s="12" t="n">
        <f aca="false">R176*Calculator!$B$7/Calculator!$C$7</f>
        <v>0.0896768860349972</v>
      </c>
      <c r="W176" s="14" t="n">
        <f aca="false">T176-U176-V176</f>
        <v>10.6672410696795</v>
      </c>
      <c r="X176" s="7" t="str">
        <f aca="false">LEFT(A176,7)</f>
        <v>2026-06</v>
      </c>
    </row>
    <row r="177" customFormat="false" ht="15" hidden="false" customHeight="false" outlineLevel="0" collapsed="false">
      <c r="A177" s="7" t="s">
        <v>336</v>
      </c>
      <c r="B177" s="7" t="s">
        <v>201</v>
      </c>
      <c r="C177" s="7" t="s">
        <v>64</v>
      </c>
      <c r="D177" s="7" t="s">
        <v>60</v>
      </c>
      <c r="E177" s="7" t="s">
        <v>66</v>
      </c>
      <c r="F177" s="28" t="n">
        <v>46191.8125</v>
      </c>
      <c r="G177" s="29" t="n">
        <v>63965.19048</v>
      </c>
      <c r="H177" s="29" t="n">
        <v>63557.39885</v>
      </c>
      <c r="I177" s="28" t="n">
        <v>46191.8229166667</v>
      </c>
      <c r="J177" s="29" t="n">
        <v>64066.9361420815</v>
      </c>
      <c r="K177" s="7" t="s">
        <v>69</v>
      </c>
      <c r="L177" s="30" t="n">
        <v>0.002</v>
      </c>
      <c r="M177" s="12" t="n">
        <f aca="false">L177*G177*Settings!$B$5</f>
        <v>11257.87352448</v>
      </c>
      <c r="N177" s="31" t="n">
        <f aca="false">(I177-F177)*24</f>
        <v>0.25</v>
      </c>
      <c r="O177" s="12" t="n">
        <v>25.7670740643808</v>
      </c>
      <c r="P177" s="12" t="n">
        <v>12.4476024507304</v>
      </c>
      <c r="Q177" s="12" t="n">
        <f aca="false">2*Calculator!$C$5*M177</f>
        <v>13.2842907588864</v>
      </c>
      <c r="R177" s="12" t="n">
        <f aca="false">O177-P177-Q177</f>
        <v>0.035180854763988</v>
      </c>
      <c r="S177" s="12" t="n">
        <f aca="false">O177+2*Calculator!$C$6*M177</f>
        <v>30.2702234741728</v>
      </c>
      <c r="T177" s="12" t="n">
        <f aca="false">S177-2*Calculator!$B$6*M177</f>
        <v>25.7670740643808</v>
      </c>
      <c r="U177" s="12" t="n">
        <f aca="false">2*Calculator!$B$5*M177</f>
        <v>13.2842907588864</v>
      </c>
      <c r="V177" s="12" t="n">
        <f aca="false">R177*Calculator!$B$7/Calculator!$C$7</f>
        <v>0.035180854763988</v>
      </c>
      <c r="W177" s="14" t="n">
        <f aca="false">T177-U177-V177</f>
        <v>12.4476024507304</v>
      </c>
      <c r="X177" s="7" t="str">
        <f aca="false">LEFT(A177,7)</f>
        <v>2026-06</v>
      </c>
    </row>
    <row r="178" customFormat="false" ht="15" hidden="false" customHeight="false" outlineLevel="0" collapsed="false">
      <c r="A178" s="7" t="s">
        <v>337</v>
      </c>
      <c r="B178" s="7" t="s">
        <v>203</v>
      </c>
      <c r="C178" s="7" t="s">
        <v>64</v>
      </c>
      <c r="D178" s="7" t="s">
        <v>59</v>
      </c>
      <c r="E178" s="7" t="s">
        <v>66</v>
      </c>
      <c r="F178" s="28" t="n">
        <v>46192.8125</v>
      </c>
      <c r="G178" s="29" t="n">
        <v>63186.73482</v>
      </c>
      <c r="H178" s="29" t="n">
        <v>63005.1503</v>
      </c>
      <c r="I178" s="28" t="n">
        <v>46192.8125</v>
      </c>
      <c r="J178" s="29" t="n">
        <v>62992.54926994</v>
      </c>
      <c r="K178" s="7" t="s">
        <v>70</v>
      </c>
      <c r="L178" s="30" t="n">
        <v>0.006</v>
      </c>
      <c r="M178" s="12" t="n">
        <f aca="false">L178*G178*Settings!$B$5</f>
        <v>33362.59598496</v>
      </c>
      <c r="N178" s="31" t="n">
        <f aca="false">(I178-F178)*24</f>
        <v>0</v>
      </c>
      <c r="O178" s="12" t="n">
        <v>-102.529970431672</v>
      </c>
      <c r="P178" s="12" t="n">
        <v>-141.897833693925</v>
      </c>
      <c r="Q178" s="12" t="n">
        <f aca="false">2*Calculator!$C$5*M178</f>
        <v>39.3678632622528</v>
      </c>
      <c r="R178" s="12" t="n">
        <f aca="false">O178-P178-Q178</f>
        <v>0</v>
      </c>
      <c r="S178" s="12" t="n">
        <f aca="false">O178+2*Calculator!$C$6*M178</f>
        <v>-89.1849320376881</v>
      </c>
      <c r="T178" s="12" t="n">
        <f aca="false">S178-2*Calculator!$B$6*M178</f>
        <v>-102.529970431672</v>
      </c>
      <c r="U178" s="12" t="n">
        <f aca="false">2*Calculator!$B$5*M178</f>
        <v>39.3678632622528</v>
      </c>
      <c r="V178" s="12" t="n">
        <f aca="false">R178*Calculator!$B$7/Calculator!$C$7</f>
        <v>0</v>
      </c>
      <c r="W178" s="14" t="n">
        <f aca="false">T178-U178-V178</f>
        <v>-141.897833693925</v>
      </c>
      <c r="X178" s="7" t="str">
        <f aca="false">LEFT(A178,7)</f>
        <v>2026-06</v>
      </c>
    </row>
    <row r="179" customFormat="false" ht="15" hidden="false" customHeight="false" outlineLevel="0" collapsed="false">
      <c r="A179" s="7" t="s">
        <v>338</v>
      </c>
      <c r="B179" s="7" t="s">
        <v>205</v>
      </c>
      <c r="C179" s="7" t="s">
        <v>64</v>
      </c>
      <c r="D179" s="7" t="s">
        <v>60</v>
      </c>
      <c r="E179" s="7" t="s">
        <v>67</v>
      </c>
      <c r="F179" s="28" t="n">
        <v>46193.8125</v>
      </c>
      <c r="G179" s="29" t="n">
        <v>63355.3264</v>
      </c>
      <c r="H179" s="29" t="n">
        <v>63726.78585</v>
      </c>
      <c r="I179" s="28" t="n">
        <v>46193.8229166667</v>
      </c>
      <c r="J179" s="29" t="n">
        <v>63241.7106754725</v>
      </c>
      <c r="K179" s="7" t="s">
        <v>69</v>
      </c>
      <c r="L179" s="30" t="n">
        <v>0.003</v>
      </c>
      <c r="M179" s="12" t="n">
        <f aca="false">L179*G179*Settings!$B$5</f>
        <v>16725.8061696</v>
      </c>
      <c r="N179" s="31" t="n">
        <f aca="false">(I179-F179)*24</f>
        <v>0.25</v>
      </c>
      <c r="O179" s="12" t="n">
        <v>35.2287984153609</v>
      </c>
      <c r="P179" s="12" t="n">
        <v>15.4575017057129</v>
      </c>
      <c r="Q179" s="12" t="n">
        <f aca="false">2*Calculator!$C$5*M179</f>
        <v>19.736451280128</v>
      </c>
      <c r="R179" s="12" t="n">
        <f aca="false">O179-P179-Q179</f>
        <v>0.0348454295200042</v>
      </c>
      <c r="S179" s="12" t="n">
        <f aca="false">O179+2*Calculator!$C$6*M179</f>
        <v>41.9191208832009</v>
      </c>
      <c r="T179" s="12" t="n">
        <f aca="false">S179-2*Calculator!$B$6*M179</f>
        <v>35.2287984153609</v>
      </c>
      <c r="U179" s="12" t="n">
        <f aca="false">2*Calculator!$B$5*M179</f>
        <v>19.736451280128</v>
      </c>
      <c r="V179" s="12" t="n">
        <f aca="false">R179*Calculator!$B$7/Calculator!$C$7</f>
        <v>0.0348454295200042</v>
      </c>
      <c r="W179" s="14" t="n">
        <f aca="false">T179-U179-V179</f>
        <v>15.4575017057129</v>
      </c>
      <c r="X179" s="7" t="str">
        <f aca="false">LEFT(A179,7)</f>
        <v>2026-06</v>
      </c>
    </row>
    <row r="180" customFormat="false" ht="15" hidden="false" customHeight="false" outlineLevel="0" collapsed="false">
      <c r="A180" s="7" t="s">
        <v>339</v>
      </c>
      <c r="B180" s="7" t="s">
        <v>207</v>
      </c>
      <c r="C180" s="7" t="s">
        <v>63</v>
      </c>
      <c r="D180" s="7" t="s">
        <v>60</v>
      </c>
      <c r="E180" s="7" t="s">
        <v>67</v>
      </c>
      <c r="F180" s="28" t="n">
        <v>46194.5625</v>
      </c>
      <c r="G180" s="29" t="n">
        <v>64157.166</v>
      </c>
      <c r="H180" s="29" t="n">
        <v>64511.8026</v>
      </c>
      <c r="I180" s="28" t="n">
        <v>46194.5833333333</v>
      </c>
      <c r="J180" s="29" t="n">
        <v>63972.75114183</v>
      </c>
      <c r="K180" s="7" t="s">
        <v>69</v>
      </c>
      <c r="L180" s="30" t="n">
        <v>0.003</v>
      </c>
      <c r="M180" s="12" t="n">
        <f aca="false">L180*G180*Settings!$B$5</f>
        <v>16937.491824</v>
      </c>
      <c r="N180" s="31" t="n">
        <f aca="false">(I180-F180)*24</f>
        <v>0.5</v>
      </c>
      <c r="O180" s="12" t="n">
        <v>46.9349801184012</v>
      </c>
      <c r="P180" s="12" t="n">
        <v>26.8428804421812</v>
      </c>
      <c r="Q180" s="12" t="n">
        <f aca="false">2*Calculator!$C$5*M180</f>
        <v>19.98624035232</v>
      </c>
      <c r="R180" s="12" t="n">
        <f aca="false">O180-P180-Q180</f>
        <v>0.105859323899999</v>
      </c>
      <c r="S180" s="12" t="n">
        <f aca="false">O180+2*Calculator!$C$6*M180</f>
        <v>53.7099768480012</v>
      </c>
      <c r="T180" s="12" t="n">
        <f aca="false">S180-2*Calculator!$B$6*M180</f>
        <v>46.9349801184012</v>
      </c>
      <c r="U180" s="12" t="n">
        <f aca="false">2*Calculator!$B$5*M180</f>
        <v>19.98624035232</v>
      </c>
      <c r="V180" s="12" t="n">
        <f aca="false">R180*Calculator!$B$7/Calculator!$C$7</f>
        <v>0.105859323899999</v>
      </c>
      <c r="W180" s="14" t="n">
        <f aca="false">T180-U180-V180</f>
        <v>26.8428804421812</v>
      </c>
      <c r="X180" s="7" t="str">
        <f aca="false">LEFT(A180,7)</f>
        <v>2026-06</v>
      </c>
    </row>
    <row r="181" customFormat="false" ht="15" hidden="false" customHeight="false" outlineLevel="0" collapsed="false">
      <c r="A181" s="7" t="s">
        <v>339</v>
      </c>
      <c r="B181" s="7" t="s">
        <v>207</v>
      </c>
      <c r="C181" s="7" t="s">
        <v>64</v>
      </c>
      <c r="D181" s="7" t="s">
        <v>60</v>
      </c>
      <c r="E181" s="7" t="s">
        <v>66</v>
      </c>
      <c r="F181" s="28" t="n">
        <v>46194.84375</v>
      </c>
      <c r="G181" s="29" t="n">
        <v>64041.00564</v>
      </c>
      <c r="H181" s="29" t="n">
        <v>63693.2846</v>
      </c>
      <c r="I181" s="28" t="n">
        <v>46194.8541666667</v>
      </c>
      <c r="J181" s="29" t="n">
        <v>64173.832406052</v>
      </c>
      <c r="K181" s="7" t="s">
        <v>69</v>
      </c>
      <c r="L181" s="30" t="n">
        <v>0.003</v>
      </c>
      <c r="M181" s="12" t="n">
        <f aca="false">L181*G181*Settings!$B$5</f>
        <v>16906.82548896</v>
      </c>
      <c r="N181" s="31" t="n">
        <f aca="false">(I181-F181)*24</f>
        <v>0.25</v>
      </c>
      <c r="O181" s="12" t="n">
        <v>37.5470549407355</v>
      </c>
      <c r="P181" s="12" t="n">
        <v>17.5441670341097</v>
      </c>
      <c r="Q181" s="12" t="n">
        <f aca="false">2*Calculator!$C$5*M181</f>
        <v>19.9500540769728</v>
      </c>
      <c r="R181" s="12" t="n">
        <f aca="false">O181-P181-Q181</f>
        <v>0.0528338296529931</v>
      </c>
      <c r="S181" s="12" t="n">
        <f aca="false">O181+2*Calculator!$C$6*M181</f>
        <v>44.3097851363195</v>
      </c>
      <c r="T181" s="12" t="n">
        <f aca="false">S181-2*Calculator!$B$6*M181</f>
        <v>37.5470549407355</v>
      </c>
      <c r="U181" s="12" t="n">
        <f aca="false">2*Calculator!$B$5*M181</f>
        <v>19.9500540769728</v>
      </c>
      <c r="V181" s="12" t="n">
        <f aca="false">R181*Calculator!$B$7/Calculator!$C$7</f>
        <v>0.0528338296529931</v>
      </c>
      <c r="W181" s="14" t="n">
        <f aca="false">T181-U181-V181</f>
        <v>17.5441670341097</v>
      </c>
      <c r="X181" s="7" t="str">
        <f aca="false">LEFT(A181,7)</f>
        <v>2026-06</v>
      </c>
    </row>
    <row r="182" customFormat="false" ht="15" hidden="false" customHeight="false" outlineLevel="0" collapsed="false">
      <c r="A182" s="7" t="s">
        <v>340</v>
      </c>
      <c r="B182" s="7" t="s">
        <v>199</v>
      </c>
      <c r="C182" s="7" t="s">
        <v>63</v>
      </c>
      <c r="D182" s="7" t="s">
        <v>60</v>
      </c>
      <c r="E182" s="7" t="s">
        <v>67</v>
      </c>
      <c r="F182" s="28" t="n">
        <v>46197.5729166667</v>
      </c>
      <c r="G182" s="29" t="n">
        <v>62624.4726</v>
      </c>
      <c r="H182" s="29" t="n">
        <v>62989.28195</v>
      </c>
      <c r="I182" s="28" t="n">
        <v>46197.6666666667</v>
      </c>
      <c r="J182" s="29" t="n">
        <v>62529.8057979675</v>
      </c>
      <c r="K182" s="7" t="s">
        <v>69</v>
      </c>
      <c r="L182" s="30" t="n">
        <v>0.003</v>
      </c>
      <c r="M182" s="12" t="n">
        <f aca="false">L182*G182*Settings!$B$5</f>
        <v>16532.8607664</v>
      </c>
      <c r="N182" s="31" t="n">
        <f aca="false">(I182-F182)*24</f>
        <v>2.25</v>
      </c>
      <c r="O182" s="12" t="n">
        <v>31.61398816224</v>
      </c>
      <c r="P182" s="12" t="n">
        <v>11.657447478798</v>
      </c>
      <c r="Q182" s="12" t="n">
        <f aca="false">2*Calculator!$C$5*M182</f>
        <v>19.508775704352</v>
      </c>
      <c r="R182" s="12" t="n">
        <f aca="false">O182-P182-Q182</f>
        <v>0.447764979090007</v>
      </c>
      <c r="S182" s="12" t="n">
        <f aca="false">O182+2*Calculator!$C$6*M182</f>
        <v>38.2271324688</v>
      </c>
      <c r="T182" s="12" t="n">
        <f aca="false">S182-2*Calculator!$B$6*M182</f>
        <v>31.61398816224</v>
      </c>
      <c r="U182" s="12" t="n">
        <f aca="false">2*Calculator!$B$5*M182</f>
        <v>19.508775704352</v>
      </c>
      <c r="V182" s="12" t="n">
        <f aca="false">R182*Calculator!$B$7/Calculator!$C$7</f>
        <v>0.447764979090007</v>
      </c>
      <c r="W182" s="14" t="n">
        <f aca="false">T182-U182-V182</f>
        <v>11.657447478798</v>
      </c>
      <c r="X182" s="7" t="str">
        <f aca="false">LEFT(A182,7)</f>
        <v>2026-06</v>
      </c>
    </row>
    <row r="183" customFormat="false" ht="15" hidden="false" customHeight="false" outlineLevel="0" collapsed="false">
      <c r="A183" s="7" t="s">
        <v>341</v>
      </c>
      <c r="B183" s="7" t="s">
        <v>201</v>
      </c>
      <c r="C183" s="7" t="s">
        <v>63</v>
      </c>
      <c r="D183" s="7" t="s">
        <v>60</v>
      </c>
      <c r="E183" s="7" t="s">
        <v>67</v>
      </c>
      <c r="F183" s="28" t="n">
        <v>46198.5625</v>
      </c>
      <c r="G183" s="29" t="n">
        <v>61874.42264</v>
      </c>
      <c r="H183" s="29" t="n">
        <v>62209.78995</v>
      </c>
      <c r="I183" s="28" t="n">
        <v>46198.59375</v>
      </c>
      <c r="J183" s="29" t="n">
        <v>61773.2940158655</v>
      </c>
      <c r="K183" s="7" t="s">
        <v>69</v>
      </c>
      <c r="L183" s="30" t="n">
        <v>0.003</v>
      </c>
      <c r="M183" s="12" t="n">
        <f aca="false">L183*G183*Settings!$B$5</f>
        <v>16334.84757696</v>
      </c>
      <c r="N183" s="31" t="n">
        <f aca="false">(I183-F183)*24</f>
        <v>0.75</v>
      </c>
      <c r="O183" s="12" t="n">
        <v>31.4687608815379</v>
      </c>
      <c r="P183" s="12" t="n">
        <v>12.0745324771431</v>
      </c>
      <c r="Q183" s="12" t="n">
        <f aca="false">2*Calculator!$C$5*M183</f>
        <v>19.2751201408128</v>
      </c>
      <c r="R183" s="12" t="n">
        <f aca="false">O183-P183-Q183</f>
        <v>0.119108263582003</v>
      </c>
      <c r="S183" s="12" t="n">
        <f aca="false">O183+2*Calculator!$C$6*M183</f>
        <v>38.0026999123219</v>
      </c>
      <c r="T183" s="12" t="n">
        <f aca="false">S183-2*Calculator!$B$6*M183</f>
        <v>31.4687608815379</v>
      </c>
      <c r="U183" s="12" t="n">
        <f aca="false">2*Calculator!$B$5*M183</f>
        <v>19.2751201408128</v>
      </c>
      <c r="V183" s="12" t="n">
        <f aca="false">R183*Calculator!$B$7/Calculator!$C$7</f>
        <v>0.119108263582003</v>
      </c>
      <c r="W183" s="14" t="n">
        <f aca="false">T183-U183-V183</f>
        <v>12.0745324771431</v>
      </c>
      <c r="X183" s="7" t="str">
        <f aca="false">LEFT(A183,7)</f>
        <v>2026-06</v>
      </c>
    </row>
    <row r="184" customFormat="false" ht="15" hidden="false" customHeight="false" outlineLevel="0" collapsed="false">
      <c r="A184" s="7" t="s">
        <v>342</v>
      </c>
      <c r="B184" s="7" t="s">
        <v>203</v>
      </c>
      <c r="C184" s="7" t="s">
        <v>64</v>
      </c>
      <c r="D184" s="7" t="s">
        <v>59</v>
      </c>
      <c r="E184" s="7" t="s">
        <v>66</v>
      </c>
      <c r="F184" s="28" t="n">
        <v>46199.8125</v>
      </c>
      <c r="G184" s="29" t="n">
        <v>60165.5307</v>
      </c>
      <c r="H184" s="29" t="n">
        <v>59403.9602</v>
      </c>
      <c r="I184" s="28" t="n">
        <v>46199.84375</v>
      </c>
      <c r="J184" s="29" t="n">
        <v>59392.07940796</v>
      </c>
      <c r="K184" s="7" t="s">
        <v>70</v>
      </c>
      <c r="L184" s="30" t="n">
        <v>0.001</v>
      </c>
      <c r="M184" s="12" t="n">
        <f aca="false">L184*G184*Settings!$B$5</f>
        <v>5294.5667016</v>
      </c>
      <c r="N184" s="31" t="n">
        <f aca="false">(I184-F184)*24</f>
        <v>0.75</v>
      </c>
      <c r="O184" s="12" t="n">
        <v>-68.0637136995195</v>
      </c>
      <c r="P184" s="12" t="n">
        <v>-74.360938970235</v>
      </c>
      <c r="Q184" s="12" t="n">
        <f aca="false">2*Calculator!$C$5*M184</f>
        <v>6.247588707888</v>
      </c>
      <c r="R184" s="12" t="n">
        <f aca="false">O184-P184-Q184</f>
        <v>0.0496365628275139</v>
      </c>
      <c r="S184" s="12" t="n">
        <f aca="false">O184+2*Calculator!$C$6*M184</f>
        <v>-65.9458870188795</v>
      </c>
      <c r="T184" s="12" t="n">
        <f aca="false">S184-2*Calculator!$B$6*M184</f>
        <v>-68.0637136995195</v>
      </c>
      <c r="U184" s="12" t="n">
        <f aca="false">2*Calculator!$B$5*M184</f>
        <v>6.247588707888</v>
      </c>
      <c r="V184" s="12" t="n">
        <f aca="false">R184*Calculator!$B$7/Calculator!$C$7</f>
        <v>0.0496365628275139</v>
      </c>
      <c r="W184" s="14" t="n">
        <f aca="false">T184-U184-V184</f>
        <v>-74.360938970235</v>
      </c>
      <c r="X184" s="7" t="str">
        <f aca="false">LEFT(A184,7)</f>
        <v>2026-06</v>
      </c>
    </row>
    <row r="185" customFormat="false" ht="15" hidden="false" customHeight="false" outlineLevel="0" collapsed="false">
      <c r="A185" s="7" t="s">
        <v>343</v>
      </c>
      <c r="B185" s="7" t="s">
        <v>205</v>
      </c>
      <c r="C185" s="7" t="s">
        <v>63</v>
      </c>
      <c r="D185" s="7" t="s">
        <v>59</v>
      </c>
      <c r="E185" s="7" t="s">
        <v>66</v>
      </c>
      <c r="F185" s="28" t="n">
        <v>46200.5625</v>
      </c>
      <c r="G185" s="29" t="n">
        <v>60534.50448</v>
      </c>
      <c r="H185" s="29" t="n">
        <v>60349.83925</v>
      </c>
      <c r="I185" s="28" t="n">
        <v>46200.5833333333</v>
      </c>
      <c r="J185" s="29" t="n">
        <v>60337.76928215</v>
      </c>
      <c r="K185" s="7" t="s">
        <v>70</v>
      </c>
      <c r="L185" s="30" t="n">
        <v>0.006</v>
      </c>
      <c r="M185" s="12" t="n">
        <f aca="false">L185*G185*Settings!$B$5</f>
        <v>31962.21836544</v>
      </c>
      <c r="N185" s="31" t="n">
        <f aca="false">(I185-F185)*24</f>
        <v>0.5</v>
      </c>
      <c r="O185" s="12" t="n">
        <v>-103.876184464801</v>
      </c>
      <c r="P185" s="12" t="n">
        <v>-141.791366000804</v>
      </c>
      <c r="Q185" s="12" t="n">
        <f aca="false">2*Calculator!$C$5*M185</f>
        <v>37.7154176712192</v>
      </c>
      <c r="R185" s="12" t="n">
        <f aca="false">O185-P185-Q185</f>
        <v>0.199763864783989</v>
      </c>
      <c r="S185" s="12" t="n">
        <f aca="false">O185+2*Calculator!$C$6*M185</f>
        <v>-91.0912971186245</v>
      </c>
      <c r="T185" s="12" t="n">
        <f aca="false">S185-2*Calculator!$B$6*M185</f>
        <v>-103.876184464801</v>
      </c>
      <c r="U185" s="12" t="n">
        <f aca="false">2*Calculator!$B$5*M185</f>
        <v>37.7154176712192</v>
      </c>
      <c r="V185" s="12" t="n">
        <f aca="false">R185*Calculator!$B$7/Calculator!$C$7</f>
        <v>0.199763864783989</v>
      </c>
      <c r="W185" s="14" t="n">
        <f aca="false">T185-U185-V185</f>
        <v>-141.791366000804</v>
      </c>
      <c r="X185" s="7" t="str">
        <f aca="false">LEFT(A185,7)</f>
        <v>2026-06</v>
      </c>
    </row>
    <row r="186" customFormat="false" ht="15" hidden="false" customHeight="false" outlineLevel="0" collapsed="false">
      <c r="A186" s="7" t="s">
        <v>344</v>
      </c>
      <c r="B186" s="7" t="s">
        <v>207</v>
      </c>
      <c r="C186" s="7" t="s">
        <v>63</v>
      </c>
      <c r="D186" s="7" t="s">
        <v>60</v>
      </c>
      <c r="E186" s="7" t="s">
        <v>67</v>
      </c>
      <c r="F186" s="28" t="n">
        <v>46201.5625</v>
      </c>
      <c r="G186" s="29" t="n">
        <v>60180.36152</v>
      </c>
      <c r="H186" s="29" t="n">
        <v>60518.21195</v>
      </c>
      <c r="I186" s="28" t="n">
        <v>46201.5833333333</v>
      </c>
      <c r="J186" s="29" t="n">
        <v>60530.31559239</v>
      </c>
      <c r="K186" s="7" t="s">
        <v>70</v>
      </c>
      <c r="L186" s="30" t="n">
        <v>0.003</v>
      </c>
      <c r="M186" s="12" t="n">
        <f aca="false">L186*G186*Settings!$B$5</f>
        <v>15887.61544128</v>
      </c>
      <c r="N186" s="31" t="n">
        <f aca="false">(I186-F186)*24</f>
        <v>0.5</v>
      </c>
      <c r="O186" s="12" t="n">
        <v>-92.3878751109578</v>
      </c>
      <c r="P186" s="12" t="n">
        <v>-111.234558928176</v>
      </c>
      <c r="Q186" s="12" t="n">
        <f aca="false">2*Calculator!$C$5*M186</f>
        <v>18.7473862207104</v>
      </c>
      <c r="R186" s="12" t="n">
        <f aca="false">O186-P186-Q186</f>
        <v>0.0992975965079594</v>
      </c>
      <c r="S186" s="12" t="n">
        <f aca="false">O186+2*Calculator!$C$6*M186</f>
        <v>-86.0328289344458</v>
      </c>
      <c r="T186" s="12" t="n">
        <f aca="false">S186-2*Calculator!$B$6*M186</f>
        <v>-92.3878751109578</v>
      </c>
      <c r="U186" s="12" t="n">
        <f aca="false">2*Calculator!$B$5*M186</f>
        <v>18.7473862207104</v>
      </c>
      <c r="V186" s="12" t="n">
        <f aca="false">R186*Calculator!$B$7/Calculator!$C$7</f>
        <v>0.0992975965079594</v>
      </c>
      <c r="W186" s="14" t="n">
        <f aca="false">T186-U186-V186</f>
        <v>-111.234558928176</v>
      </c>
      <c r="X186" s="7" t="str">
        <f aca="false">LEFT(A186,7)</f>
        <v>2026-06</v>
      </c>
    </row>
    <row r="187" customFormat="false" ht="15" hidden="false" customHeight="false" outlineLevel="0" collapsed="false">
      <c r="A187" s="7" t="s">
        <v>344</v>
      </c>
      <c r="B187" s="7" t="s">
        <v>207</v>
      </c>
      <c r="C187" s="7" t="s">
        <v>64</v>
      </c>
      <c r="D187" s="7" t="s">
        <v>60</v>
      </c>
      <c r="E187" s="7" t="s">
        <v>66</v>
      </c>
      <c r="F187" s="28" t="n">
        <v>46201.8229166667</v>
      </c>
      <c r="G187" s="29" t="n">
        <v>60162.03</v>
      </c>
      <c r="H187" s="29" t="n">
        <v>59742.1451</v>
      </c>
      <c r="I187" s="28" t="n">
        <v>46201.90625</v>
      </c>
      <c r="J187" s="29" t="n">
        <v>59730.19667098</v>
      </c>
      <c r="K187" s="7" t="s">
        <v>70</v>
      </c>
      <c r="L187" s="30" t="n">
        <v>0.002</v>
      </c>
      <c r="M187" s="12" t="n">
        <f aca="false">L187*G187*Settings!$B$5</f>
        <v>10588.51728</v>
      </c>
      <c r="N187" s="31" t="n">
        <f aca="false">(I187-F187)*24</f>
        <v>2</v>
      </c>
      <c r="O187" s="12" t="n">
        <v>-76.0026659075192</v>
      </c>
      <c r="P187" s="12" t="n">
        <v>-88.7618292299192</v>
      </c>
      <c r="Q187" s="12" t="n">
        <f aca="false">2*Calculator!$C$5*M187</f>
        <v>12.4944503904</v>
      </c>
      <c r="R187" s="12" t="n">
        <f aca="false">O187-P187-Q187</f>
        <v>0.264712932000013</v>
      </c>
      <c r="S187" s="12" t="n">
        <f aca="false">O187+2*Calculator!$C$6*M187</f>
        <v>-71.7672589955192</v>
      </c>
      <c r="T187" s="12" t="n">
        <f aca="false">S187-2*Calculator!$B$6*M187</f>
        <v>-76.0026659075192</v>
      </c>
      <c r="U187" s="12" t="n">
        <f aca="false">2*Calculator!$B$5*M187</f>
        <v>12.4944503904</v>
      </c>
      <c r="V187" s="12" t="n">
        <f aca="false">R187*Calculator!$B$7/Calculator!$C$7</f>
        <v>0.264712932000013</v>
      </c>
      <c r="W187" s="14" t="n">
        <f aca="false">T187-U187-V187</f>
        <v>-88.7618292299192</v>
      </c>
      <c r="X187" s="7" t="str">
        <f aca="false">LEFT(A187,7)</f>
        <v>2026-06</v>
      </c>
    </row>
    <row r="188" customFormat="false" ht="15" hidden="false" customHeight="false" outlineLevel="0" collapsed="false">
      <c r="A188" s="7" t="s">
        <v>345</v>
      </c>
      <c r="B188" s="7" t="s">
        <v>209</v>
      </c>
      <c r="C188" s="7" t="s">
        <v>63</v>
      </c>
      <c r="D188" s="7" t="s">
        <v>60</v>
      </c>
      <c r="E188" s="7" t="s">
        <v>67</v>
      </c>
      <c r="F188" s="28" t="n">
        <v>46203.5625</v>
      </c>
      <c r="G188" s="29" t="n">
        <v>59485.80046</v>
      </c>
      <c r="H188" s="29" t="n">
        <v>59814.9615</v>
      </c>
      <c r="I188" s="28" t="n">
        <v>46203.59375</v>
      </c>
      <c r="J188" s="29" t="n">
        <v>59282.144318052</v>
      </c>
      <c r="K188" s="7" t="s">
        <v>69</v>
      </c>
      <c r="L188" s="30" t="n">
        <v>0.003</v>
      </c>
      <c r="M188" s="12" t="n">
        <f aca="false">L188*G188*Settings!$B$5</f>
        <v>15704.25132144</v>
      </c>
      <c r="N188" s="31" t="n">
        <f aca="false">(I188-F188)*24</f>
        <v>0.75</v>
      </c>
      <c r="O188" s="12" t="n">
        <v>49.2825132719041</v>
      </c>
      <c r="P188" s="12" t="n">
        <v>30.6206279515929</v>
      </c>
      <c r="Q188" s="12" t="n">
        <f aca="false">2*Calculator!$C$5*M188</f>
        <v>18.5310165592992</v>
      </c>
      <c r="R188" s="12" t="n">
        <f aca="false">O188-P188-Q188</f>
        <v>0.130868761012003</v>
      </c>
      <c r="S188" s="12" t="n">
        <f aca="false">O188+2*Calculator!$C$6*M188</f>
        <v>55.5642138004802</v>
      </c>
      <c r="T188" s="12" t="n">
        <f aca="false">S188-2*Calculator!$B$6*M188</f>
        <v>49.2825132719042</v>
      </c>
      <c r="U188" s="12" t="n">
        <f aca="false">2*Calculator!$B$5*M188</f>
        <v>18.5310165592992</v>
      </c>
      <c r="V188" s="12" t="n">
        <f aca="false">R188*Calculator!$B$7/Calculator!$C$7</f>
        <v>0.130868761012003</v>
      </c>
      <c r="W188" s="14" t="n">
        <f aca="false">T188-U188-V188</f>
        <v>30.6206279515929</v>
      </c>
      <c r="X188" s="7" t="str">
        <f aca="false">LEFT(A188,7)</f>
        <v>2026-06</v>
      </c>
    </row>
    <row r="189" customFormat="false" ht="15" hidden="false" customHeight="false" outlineLevel="0" collapsed="false">
      <c r="A189" s="7" t="s">
        <v>346</v>
      </c>
      <c r="B189" s="7" t="s">
        <v>199</v>
      </c>
      <c r="C189" s="7" t="s">
        <v>64</v>
      </c>
      <c r="D189" s="7" t="s">
        <v>59</v>
      </c>
      <c r="E189" s="7" t="s">
        <v>66</v>
      </c>
      <c r="F189" s="28" t="n">
        <v>46204.8125</v>
      </c>
      <c r="G189" s="29" t="n">
        <v>59474.8926</v>
      </c>
      <c r="H189" s="29" t="n">
        <v>58962.4235</v>
      </c>
      <c r="I189" s="28" t="n">
        <v>46204.8229166667</v>
      </c>
      <c r="J189" s="29" t="n">
        <v>59825.915148455</v>
      </c>
      <c r="K189" s="7" t="s">
        <v>69</v>
      </c>
      <c r="L189" s="30" t="n">
        <v>0.002</v>
      </c>
      <c r="M189" s="12" t="n">
        <f aca="false">L189*G189*Settings!$B$5</f>
        <v>10467.5810976</v>
      </c>
      <c r="N189" s="31" t="n">
        <f aca="false">(I189-F189)*24</f>
        <v>0.25</v>
      </c>
      <c r="O189" s="12" t="n">
        <v>52.3873568262002</v>
      </c>
      <c r="P189" s="12" t="n">
        <v>40.0192555355672</v>
      </c>
      <c r="Q189" s="12" t="n">
        <f aca="false">2*Calculator!$C$5*M189</f>
        <v>12.351745695168</v>
      </c>
      <c r="R189" s="12" t="n">
        <f aca="false">O189-P189-Q189</f>
        <v>0.0163555954649972</v>
      </c>
      <c r="S189" s="12" t="n">
        <f aca="false">O189+2*Calculator!$C$6*M189</f>
        <v>56.5743892652402</v>
      </c>
      <c r="T189" s="12" t="n">
        <f aca="false">S189-2*Calculator!$B$6*M189</f>
        <v>52.3873568262002</v>
      </c>
      <c r="U189" s="12" t="n">
        <f aca="false">2*Calculator!$B$5*M189</f>
        <v>12.351745695168</v>
      </c>
      <c r="V189" s="12" t="n">
        <f aca="false">R189*Calculator!$B$7/Calculator!$C$7</f>
        <v>0.0163555954649972</v>
      </c>
      <c r="W189" s="14" t="n">
        <f aca="false">T189-U189-V189</f>
        <v>40.0192555355672</v>
      </c>
      <c r="X189" s="7" t="str">
        <f aca="false">LEFT(A189,7)</f>
        <v>2026-07</v>
      </c>
    </row>
    <row r="190" customFormat="false" ht="15" hidden="false" customHeight="false" outlineLevel="0" collapsed="false">
      <c r="A190" s="7" t="s">
        <v>347</v>
      </c>
      <c r="B190" s="7" t="s">
        <v>201</v>
      </c>
      <c r="C190" s="7" t="s">
        <v>63</v>
      </c>
      <c r="D190" s="7" t="s">
        <v>60</v>
      </c>
      <c r="E190" s="7" t="s">
        <v>67</v>
      </c>
      <c r="F190" s="28" t="n">
        <v>46205.5625</v>
      </c>
      <c r="G190" s="29" t="n">
        <v>60113.77484</v>
      </c>
      <c r="H190" s="29" t="n">
        <v>60468.6901</v>
      </c>
      <c r="I190" s="28" t="n">
        <v>46205.5833333333</v>
      </c>
      <c r="J190" s="29" t="n">
        <v>60480.78383802</v>
      </c>
      <c r="K190" s="7" t="s">
        <v>70</v>
      </c>
      <c r="L190" s="30" t="n">
        <v>0.003</v>
      </c>
      <c r="M190" s="12" t="n">
        <f aca="false">L190*G190*Settings!$B$5</f>
        <v>15870.03655776</v>
      </c>
      <c r="N190" s="31" t="n">
        <f aca="false">(I190-F190)*24</f>
        <v>0.5</v>
      </c>
      <c r="O190" s="12" t="n">
        <v>-96.8903754772779</v>
      </c>
      <c r="P190" s="12" t="n">
        <v>-115.716206343921</v>
      </c>
      <c r="Q190" s="12" t="n">
        <f aca="false">2*Calculator!$C$5*M190</f>
        <v>18.7266431381568</v>
      </c>
      <c r="R190" s="12" t="n">
        <f aca="false">O190-P190-Q190</f>
        <v>0.0991877284860436</v>
      </c>
      <c r="S190" s="12" t="n">
        <f aca="false">O190+2*Calculator!$C$6*M190</f>
        <v>-90.5423608541739</v>
      </c>
      <c r="T190" s="12" t="n">
        <f aca="false">S190-2*Calculator!$B$6*M190</f>
        <v>-96.8903754772779</v>
      </c>
      <c r="U190" s="12" t="n">
        <f aca="false">2*Calculator!$B$5*M190</f>
        <v>18.7266431381568</v>
      </c>
      <c r="V190" s="12" t="n">
        <f aca="false">R190*Calculator!$B$7/Calculator!$C$7</f>
        <v>0.0991877284860436</v>
      </c>
      <c r="W190" s="14" t="n">
        <f aca="false">T190-U190-V190</f>
        <v>-115.716206343921</v>
      </c>
      <c r="X190" s="7" t="str">
        <f aca="false">LEFT(A190,7)</f>
        <v>2026-07</v>
      </c>
    </row>
    <row r="191" customFormat="false" ht="15" hidden="false" customHeight="false" outlineLevel="0" collapsed="false">
      <c r="A191" s="7" t="s">
        <v>347</v>
      </c>
      <c r="B191" s="7" t="s">
        <v>201</v>
      </c>
      <c r="C191" s="7" t="s">
        <v>64</v>
      </c>
      <c r="D191" s="7" t="s">
        <v>60</v>
      </c>
      <c r="E191" s="7" t="s">
        <v>67</v>
      </c>
      <c r="F191" s="28" t="n">
        <v>46205.8333333333</v>
      </c>
      <c r="G191" s="29" t="n">
        <v>61636.6702</v>
      </c>
      <c r="H191" s="29" t="n">
        <v>62356.64785</v>
      </c>
      <c r="I191" s="28" t="n">
        <v>46205.9166666667</v>
      </c>
      <c r="J191" s="29" t="n">
        <v>61306.0531713825</v>
      </c>
      <c r="K191" s="7" t="s">
        <v>69</v>
      </c>
      <c r="L191" s="30" t="n">
        <v>0.001</v>
      </c>
      <c r="M191" s="12" t="n">
        <f aca="false">L191*G191*Settings!$B$5</f>
        <v>5424.0269776</v>
      </c>
      <c r="N191" s="31" t="n">
        <f aca="false">(I191-F191)*24</f>
        <v>1.99999999953417</v>
      </c>
      <c r="O191" s="12" t="n">
        <v>29.0942985183397</v>
      </c>
      <c r="P191" s="12" t="n">
        <v>22.5583460103317</v>
      </c>
      <c r="Q191" s="12" t="n">
        <f aca="false">2*Calculator!$C$5*M191</f>
        <v>6.400351833568</v>
      </c>
      <c r="R191" s="12" t="n">
        <f aca="false">O191-P191-Q191</f>
        <v>0.135600674439997</v>
      </c>
      <c r="S191" s="12" t="n">
        <f aca="false">O191+2*Calculator!$C$6*M191</f>
        <v>31.2639093093797</v>
      </c>
      <c r="T191" s="12" t="n">
        <f aca="false">S191-2*Calculator!$B$6*M191</f>
        <v>29.0942985183397</v>
      </c>
      <c r="U191" s="12" t="n">
        <f aca="false">2*Calculator!$B$5*M191</f>
        <v>6.400351833568</v>
      </c>
      <c r="V191" s="12" t="n">
        <f aca="false">R191*Calculator!$B$7/Calculator!$C$7</f>
        <v>0.135600674439997</v>
      </c>
      <c r="W191" s="14" t="n">
        <f aca="false">T191-U191-V191</f>
        <v>22.5583460103317</v>
      </c>
      <c r="X191" s="7" t="str">
        <f aca="false">LEFT(A191,7)</f>
        <v>2026-07</v>
      </c>
    </row>
    <row r="192" customFormat="false" ht="15" hidden="false" customHeight="false" outlineLevel="0" collapsed="false">
      <c r="A192" s="7" t="s">
        <v>348</v>
      </c>
      <c r="B192" s="7" t="s">
        <v>203</v>
      </c>
      <c r="C192" s="7" t="s">
        <v>63</v>
      </c>
      <c r="D192" s="7" t="s">
        <v>60</v>
      </c>
      <c r="E192" s="7" t="s">
        <v>67</v>
      </c>
      <c r="F192" s="28" t="n">
        <v>46206.5625</v>
      </c>
      <c r="G192" s="29" t="n">
        <v>61721.35326</v>
      </c>
      <c r="H192" s="29" t="n">
        <v>62097.1855</v>
      </c>
      <c r="I192" s="28" t="n">
        <v>46206.6041666667</v>
      </c>
      <c r="J192" s="29" t="n">
        <v>61632.182031612</v>
      </c>
      <c r="K192" s="7" t="s">
        <v>69</v>
      </c>
      <c r="L192" s="30" t="n">
        <v>0.003</v>
      </c>
      <c r="M192" s="12" t="n">
        <f aca="false">L192*G192*Settings!$B$5</f>
        <v>16294.43726064</v>
      </c>
      <c r="N192" s="31" t="n">
        <f aca="false">(I192-F192)*24</f>
        <v>1</v>
      </c>
      <c r="O192" s="12" t="n">
        <v>31.1477662626238</v>
      </c>
      <c r="P192" s="12" t="n">
        <v>11.7336232014571</v>
      </c>
      <c r="Q192" s="12" t="n">
        <f aca="false">2*Calculator!$C$5*M192</f>
        <v>19.2274359675552</v>
      </c>
      <c r="R192" s="12" t="n">
        <f aca="false">O192-P192-Q192</f>
        <v>0.186707093611513</v>
      </c>
      <c r="S192" s="12" t="n">
        <f aca="false">O192+2*Calculator!$C$6*M192</f>
        <v>37.6655411668798</v>
      </c>
      <c r="T192" s="12" t="n">
        <f aca="false">S192-2*Calculator!$B$6*M192</f>
        <v>31.1477662626238</v>
      </c>
      <c r="U192" s="12" t="n">
        <f aca="false">2*Calculator!$B$5*M192</f>
        <v>19.2274359675552</v>
      </c>
      <c r="V192" s="12" t="n">
        <f aca="false">R192*Calculator!$B$7/Calculator!$C$7</f>
        <v>0.186707093611513</v>
      </c>
      <c r="W192" s="14" t="n">
        <f aca="false">T192-U192-V192</f>
        <v>11.7336232014571</v>
      </c>
      <c r="X192" s="7" t="str">
        <f aca="false">LEFT(A192,7)</f>
        <v>2026-07</v>
      </c>
    </row>
    <row r="193" customFormat="false" ht="15" hidden="false" customHeight="false" outlineLevel="0" collapsed="false">
      <c r="A193" s="7" t="s">
        <v>348</v>
      </c>
      <c r="B193" s="7" t="s">
        <v>203</v>
      </c>
      <c r="C193" s="7" t="s">
        <v>64</v>
      </c>
      <c r="D193" s="7" t="s">
        <v>60</v>
      </c>
      <c r="E193" s="7" t="s">
        <v>67</v>
      </c>
      <c r="F193" s="28" t="n">
        <v>46206.8125</v>
      </c>
      <c r="G193" s="29" t="n">
        <v>62071.48322</v>
      </c>
      <c r="H193" s="29" t="n">
        <v>62450.7695</v>
      </c>
      <c r="I193" s="28" t="n">
        <v>46206.8229166667</v>
      </c>
      <c r="J193" s="29" t="n">
        <v>61760.171134314</v>
      </c>
      <c r="K193" s="7" t="s">
        <v>69</v>
      </c>
      <c r="L193" s="30" t="n">
        <v>0.002</v>
      </c>
      <c r="M193" s="12" t="n">
        <f aca="false">L193*G193*Settings!$B$5</f>
        <v>10924.58104672</v>
      </c>
      <c r="N193" s="31" t="n">
        <f aca="false">(I193-F193)*24</f>
        <v>0.25</v>
      </c>
      <c r="O193" s="12" t="n">
        <v>42.99493947496</v>
      </c>
      <c r="P193" s="12" t="n">
        <v>30.0868641819449</v>
      </c>
      <c r="Q193" s="12" t="n">
        <f aca="false">2*Calculator!$C$5*M193</f>
        <v>12.8910056351296</v>
      </c>
      <c r="R193" s="12" t="n">
        <f aca="false">O193-P193-Q193</f>
        <v>0.0170696578854965</v>
      </c>
      <c r="S193" s="12" t="n">
        <f aca="false">O193+2*Calculator!$C$6*M193</f>
        <v>47.364771893648</v>
      </c>
      <c r="T193" s="12" t="n">
        <f aca="false">S193-2*Calculator!$B$6*M193</f>
        <v>42.99493947496</v>
      </c>
      <c r="U193" s="12" t="n">
        <f aca="false">2*Calculator!$B$5*M193</f>
        <v>12.8910056351296</v>
      </c>
      <c r="V193" s="12" t="n">
        <f aca="false">R193*Calculator!$B$7/Calculator!$C$7</f>
        <v>0.0170696578854965</v>
      </c>
      <c r="W193" s="14" t="n">
        <f aca="false">T193-U193-V193</f>
        <v>30.0868641819449</v>
      </c>
      <c r="X193" s="7" t="str">
        <f aca="false">LEFT(A193,7)</f>
        <v>2026-07</v>
      </c>
    </row>
    <row r="194" customFormat="false" ht="15" hidden="false" customHeight="false" outlineLevel="0" collapsed="false">
      <c r="A194" s="7" t="s">
        <v>349</v>
      </c>
      <c r="B194" s="7" t="s">
        <v>205</v>
      </c>
      <c r="C194" s="7" t="s">
        <v>64</v>
      </c>
      <c r="D194" s="7" t="s">
        <v>60</v>
      </c>
      <c r="E194" s="7" t="s">
        <v>66</v>
      </c>
      <c r="F194" s="28" t="n">
        <v>46207.8125</v>
      </c>
      <c r="G194" s="29" t="n">
        <v>62575.41258</v>
      </c>
      <c r="H194" s="29" t="n">
        <v>62245.6285</v>
      </c>
      <c r="I194" s="28" t="n">
        <v>46207.8541666667</v>
      </c>
      <c r="J194" s="29" t="n">
        <v>62974.556549204</v>
      </c>
      <c r="K194" s="7" t="s">
        <v>69</v>
      </c>
      <c r="L194" s="30" t="n">
        <v>0.003</v>
      </c>
      <c r="M194" s="12" t="n">
        <f aca="false">L194*G194*Settings!$B$5</f>
        <v>16519.90892112</v>
      </c>
      <c r="N194" s="31" t="n">
        <f aca="false">(I194-F194)*24</f>
        <v>1</v>
      </c>
      <c r="O194" s="12" t="n">
        <v>83.6556087385935</v>
      </c>
      <c r="P194" s="12" t="n">
        <v>63.9556173501579</v>
      </c>
      <c r="Q194" s="12" t="n">
        <f aca="false">2*Calculator!$C$5*M194</f>
        <v>19.4934925269216</v>
      </c>
      <c r="R194" s="12" t="n">
        <f aca="false">O194-P194-Q194</f>
        <v>0.20649886151401</v>
      </c>
      <c r="S194" s="12" t="n">
        <f aca="false">O194+2*Calculator!$C$6*M194</f>
        <v>90.2635723070415</v>
      </c>
      <c r="T194" s="12" t="n">
        <f aca="false">S194-2*Calculator!$B$6*M194</f>
        <v>83.6556087385935</v>
      </c>
      <c r="U194" s="12" t="n">
        <f aca="false">2*Calculator!$B$5*M194</f>
        <v>19.4934925269216</v>
      </c>
      <c r="V194" s="12" t="n">
        <f aca="false">R194*Calculator!$B$7/Calculator!$C$7</f>
        <v>0.20649886151401</v>
      </c>
      <c r="W194" s="14" t="n">
        <f aca="false">T194-U194-V194</f>
        <v>63.9556173501579</v>
      </c>
      <c r="X194" s="7" t="str">
        <f aca="false">LEFT(A194,7)</f>
        <v>2026-07</v>
      </c>
    </row>
    <row r="195" customFormat="false" ht="15" hidden="false" customHeight="false" outlineLevel="0" collapsed="false">
      <c r="A195" s="7" t="s">
        <v>350</v>
      </c>
      <c r="B195" s="7" t="s">
        <v>213</v>
      </c>
      <c r="C195" s="7" t="s">
        <v>63</v>
      </c>
      <c r="D195" s="7" t="s">
        <v>60</v>
      </c>
      <c r="E195" s="7" t="s">
        <v>67</v>
      </c>
      <c r="F195" s="28" t="n">
        <v>46209.5625</v>
      </c>
      <c r="G195" s="29" t="n">
        <v>63051.8871</v>
      </c>
      <c r="H195" s="29" t="n">
        <v>63378.82705</v>
      </c>
      <c r="I195" s="28" t="n">
        <v>46209.59375</v>
      </c>
      <c r="J195" s="29" t="n">
        <v>62901.4127544975</v>
      </c>
      <c r="K195" s="7" t="s">
        <v>69</v>
      </c>
      <c r="L195" s="30" t="n">
        <v>0.003</v>
      </c>
      <c r="M195" s="12" t="n">
        <f aca="false">L195*G195*Settings!$B$5</f>
        <v>16645.6981944</v>
      </c>
      <c r="N195" s="31" t="n">
        <f aca="false">(I195-F195)*24</f>
        <v>0.75</v>
      </c>
      <c r="O195" s="12" t="n">
        <v>39.7620064670404</v>
      </c>
      <c r="P195" s="12" t="n">
        <v>19.9813684460284</v>
      </c>
      <c r="Q195" s="12" t="n">
        <f aca="false">2*Calculator!$C$5*M195</f>
        <v>19.641923869392</v>
      </c>
      <c r="R195" s="12" t="n">
        <f aca="false">O195-P195-Q195</f>
        <v>0.138714151619997</v>
      </c>
      <c r="S195" s="12" t="n">
        <f aca="false">O195+2*Calculator!$C$6*M195</f>
        <v>46.4202857448004</v>
      </c>
      <c r="T195" s="12" t="n">
        <f aca="false">S195-2*Calculator!$B$6*M195</f>
        <v>39.7620064670404</v>
      </c>
      <c r="U195" s="12" t="n">
        <f aca="false">2*Calculator!$B$5*M195</f>
        <v>19.641923869392</v>
      </c>
      <c r="V195" s="12" t="n">
        <f aca="false">R195*Calculator!$B$7/Calculator!$C$7</f>
        <v>0.138714151619997</v>
      </c>
      <c r="W195" s="14" t="n">
        <f aca="false">T195-U195-V195</f>
        <v>19.9813684460284</v>
      </c>
      <c r="X195" s="7" t="str">
        <f aca="false">LEFT(A195,7)</f>
        <v>2026-07</v>
      </c>
    </row>
    <row r="196" customFormat="false" ht="15" hidden="false" customHeight="false" outlineLevel="0" collapsed="false">
      <c r="A196" s="7" t="s">
        <v>350</v>
      </c>
      <c r="B196" s="7" t="s">
        <v>213</v>
      </c>
      <c r="C196" s="7" t="s">
        <v>64</v>
      </c>
      <c r="D196" s="7" t="s">
        <v>59</v>
      </c>
      <c r="E196" s="7" t="s">
        <v>66</v>
      </c>
      <c r="F196" s="28" t="n">
        <v>46209.8125</v>
      </c>
      <c r="G196" s="29" t="n">
        <v>61764.05034</v>
      </c>
      <c r="H196" s="29" t="n">
        <v>61551.1346</v>
      </c>
      <c r="I196" s="28" t="n">
        <v>46209.8125</v>
      </c>
      <c r="J196" s="29" t="n">
        <v>61904.387710787</v>
      </c>
      <c r="K196" s="7" t="s">
        <v>69</v>
      </c>
      <c r="L196" s="30" t="n">
        <v>0.005</v>
      </c>
      <c r="M196" s="12" t="n">
        <f aca="false">L196*G196*Settings!$B$5</f>
        <v>27176.1821496</v>
      </c>
      <c r="N196" s="31" t="n">
        <f aca="false">(I196-F196)*24</f>
        <v>0</v>
      </c>
      <c r="O196" s="12" t="n">
        <v>53.6078091187766</v>
      </c>
      <c r="P196" s="12" t="n">
        <v>21.5399141822486</v>
      </c>
      <c r="Q196" s="12" t="n">
        <f aca="false">2*Calculator!$C$5*M196</f>
        <v>32.067894936528</v>
      </c>
      <c r="R196" s="12" t="n">
        <f aca="false">O196-P196-Q196</f>
        <v>0</v>
      </c>
      <c r="S196" s="12" t="n">
        <f aca="false">O196+2*Calculator!$C$6*M196</f>
        <v>64.4782819786166</v>
      </c>
      <c r="T196" s="12" t="n">
        <f aca="false">S196-2*Calculator!$B$6*M196</f>
        <v>53.6078091187766</v>
      </c>
      <c r="U196" s="12" t="n">
        <f aca="false">2*Calculator!$B$5*M196</f>
        <v>32.067894936528</v>
      </c>
      <c r="V196" s="12" t="n">
        <f aca="false">R196*Calculator!$B$7/Calculator!$C$7</f>
        <v>0</v>
      </c>
      <c r="W196" s="14" t="n">
        <f aca="false">T196-U196-V196</f>
        <v>21.5399141822486</v>
      </c>
      <c r="X196" s="7" t="str">
        <f aca="false">LEFT(A196,7)</f>
        <v>2026-07</v>
      </c>
    </row>
    <row r="197" customFormat="false" ht="15" hidden="false" customHeight="false" outlineLevel="0" collapsed="false">
      <c r="A197" s="7" t="s">
        <v>351</v>
      </c>
      <c r="B197" s="7" t="s">
        <v>209</v>
      </c>
      <c r="C197" s="7" t="s">
        <v>63</v>
      </c>
      <c r="D197" s="7" t="s">
        <v>60</v>
      </c>
      <c r="E197" s="7" t="s">
        <v>66</v>
      </c>
      <c r="F197" s="28" t="n">
        <v>46210.5729166667</v>
      </c>
      <c r="G197" s="29" t="n">
        <v>63109.21932</v>
      </c>
      <c r="H197" s="29" t="n">
        <v>62778.221</v>
      </c>
      <c r="I197" s="28" t="n">
        <v>46210.6354166667</v>
      </c>
      <c r="J197" s="29" t="n">
        <v>63222.003489916</v>
      </c>
      <c r="K197" s="7" t="s">
        <v>69</v>
      </c>
      <c r="L197" s="30" t="n">
        <v>0.003</v>
      </c>
      <c r="M197" s="12" t="n">
        <f aca="false">L197*G197*Settings!$B$5</f>
        <v>16660.83390048</v>
      </c>
      <c r="N197" s="31" t="n">
        <f aca="false">(I197-F197)*24</f>
        <v>1.5</v>
      </c>
      <c r="O197" s="12" t="n">
        <v>33.3003049399704</v>
      </c>
      <c r="P197" s="12" t="n">
        <v>13.32813030177</v>
      </c>
      <c r="Q197" s="12" t="n">
        <f aca="false">2*Calculator!$C$5*M197</f>
        <v>19.6597840025664</v>
      </c>
      <c r="R197" s="12" t="n">
        <f aca="false">O197-P197-Q197</f>
        <v>0.312390635633999</v>
      </c>
      <c r="S197" s="12" t="n">
        <f aca="false">O197+2*Calculator!$C$6*M197</f>
        <v>39.9646385001624</v>
      </c>
      <c r="T197" s="12" t="n">
        <f aca="false">S197-2*Calculator!$B$6*M197</f>
        <v>33.3003049399704</v>
      </c>
      <c r="U197" s="12" t="n">
        <f aca="false">2*Calculator!$B$5*M197</f>
        <v>19.6597840025664</v>
      </c>
      <c r="V197" s="12" t="n">
        <f aca="false">R197*Calculator!$B$7/Calculator!$C$7</f>
        <v>0.312390635633999</v>
      </c>
      <c r="W197" s="14" t="n">
        <f aca="false">T197-U197-V197</f>
        <v>13.32813030177</v>
      </c>
      <c r="X197" s="7" t="str">
        <f aca="false">LEFT(A197,7)</f>
        <v>2026-07</v>
      </c>
    </row>
    <row r="198" customFormat="false" ht="15" hidden="false" customHeight="false" outlineLevel="0" collapsed="false">
      <c r="A198" s="7" t="s">
        <v>351</v>
      </c>
      <c r="B198" s="7" t="s">
        <v>209</v>
      </c>
      <c r="C198" s="7" t="s">
        <v>64</v>
      </c>
      <c r="D198" s="7" t="s">
        <v>60</v>
      </c>
      <c r="E198" s="7" t="s">
        <v>67</v>
      </c>
      <c r="F198" s="28" t="n">
        <v>46210.8125</v>
      </c>
      <c r="G198" s="29" t="n">
        <v>63020.69334</v>
      </c>
      <c r="H198" s="29" t="n">
        <v>63516.64445</v>
      </c>
      <c r="I198" s="28" t="n">
        <v>46210.8333333333</v>
      </c>
      <c r="J198" s="29" t="n">
        <v>62774.5401750555</v>
      </c>
      <c r="K198" s="7" t="s">
        <v>69</v>
      </c>
      <c r="L198" s="30" t="n">
        <v>0.002</v>
      </c>
      <c r="M198" s="12" t="n">
        <f aca="false">L198*G198*Settings!$B$5</f>
        <v>11091.64202784</v>
      </c>
      <c r="N198" s="31" t="n">
        <f aca="false">(I198-F198)*24</f>
        <v>0.5</v>
      </c>
      <c r="O198" s="12" t="n">
        <v>42.3785275220998</v>
      </c>
      <c r="P198" s="12" t="n">
        <v>29.2210671665746</v>
      </c>
      <c r="Q198" s="12" t="n">
        <f aca="false">2*Calculator!$C$5*M198</f>
        <v>13.0881375928512</v>
      </c>
      <c r="R198" s="12" t="n">
        <f aca="false">O198-P198-Q198</f>
        <v>0.0693227626740178</v>
      </c>
      <c r="S198" s="12" t="n">
        <f aca="false">O198+2*Calculator!$C$6*M198</f>
        <v>46.8151843332358</v>
      </c>
      <c r="T198" s="12" t="n">
        <f aca="false">S198-2*Calculator!$B$6*M198</f>
        <v>42.3785275220998</v>
      </c>
      <c r="U198" s="12" t="n">
        <f aca="false">2*Calculator!$B$5*M198</f>
        <v>13.0881375928512</v>
      </c>
      <c r="V198" s="12" t="n">
        <f aca="false">R198*Calculator!$B$7/Calculator!$C$7</f>
        <v>0.0693227626740178</v>
      </c>
      <c r="W198" s="14" t="n">
        <f aca="false">T198-U198-V198</f>
        <v>29.2210671665746</v>
      </c>
      <c r="X198" s="7" t="str">
        <f aca="false">LEFT(A198,7)</f>
        <v>2026-07</v>
      </c>
    </row>
    <row r="199" customFormat="false" ht="15" hidden="false" customHeight="false" outlineLevel="0" collapsed="false">
      <c r="A199" s="7" t="s">
        <v>352</v>
      </c>
      <c r="B199" s="7" t="s">
        <v>199</v>
      </c>
      <c r="C199" s="7" t="s">
        <v>64</v>
      </c>
      <c r="D199" s="7" t="s">
        <v>60</v>
      </c>
      <c r="E199" s="7" t="s">
        <v>66</v>
      </c>
      <c r="F199" s="28" t="n">
        <v>46211.8125</v>
      </c>
      <c r="G199" s="29" t="n">
        <v>61935.28458</v>
      </c>
      <c r="H199" s="29" t="n">
        <v>61528.56985</v>
      </c>
      <c r="I199" s="28" t="n">
        <v>46211.8229166667</v>
      </c>
      <c r="J199" s="29" t="n">
        <v>62037.8112732365</v>
      </c>
      <c r="K199" s="7" t="s">
        <v>69</v>
      </c>
      <c r="L199" s="30" t="n">
        <v>0.002</v>
      </c>
      <c r="M199" s="12" t="n">
        <f aca="false">L199*G199*Settings!$B$5</f>
        <v>10900.61008608</v>
      </c>
      <c r="N199" s="31" t="n">
        <f aca="false">(I199-F199)*24</f>
        <v>0.25</v>
      </c>
      <c r="O199" s="12" t="n">
        <v>25.8241570265804</v>
      </c>
      <c r="P199" s="12" t="n">
        <v>12.927372718487</v>
      </c>
      <c r="Q199" s="12" t="n">
        <f aca="false">2*Calculator!$C$5*M199</f>
        <v>12.8627199015744</v>
      </c>
      <c r="R199" s="12" t="n">
        <f aca="false">O199-P199-Q199</f>
        <v>0.034064406518997</v>
      </c>
      <c r="S199" s="12" t="n">
        <f aca="false">O199+2*Calculator!$C$6*M199</f>
        <v>30.1844010610124</v>
      </c>
      <c r="T199" s="12" t="n">
        <f aca="false">S199-2*Calculator!$B$6*M199</f>
        <v>25.8241570265804</v>
      </c>
      <c r="U199" s="12" t="n">
        <f aca="false">2*Calculator!$B$5*M199</f>
        <v>12.8627199015744</v>
      </c>
      <c r="V199" s="12" t="n">
        <f aca="false">R199*Calculator!$B$7/Calculator!$C$7</f>
        <v>0.034064406518997</v>
      </c>
      <c r="W199" s="14" t="n">
        <f aca="false">T199-U199-V199</f>
        <v>12.927372718487</v>
      </c>
      <c r="X199" s="7" t="str">
        <f aca="false">LEFT(A199,7)</f>
        <v>2026-07</v>
      </c>
    </row>
    <row r="200" customFormat="false" ht="15" hidden="false" customHeight="false" outlineLevel="0" collapsed="false">
      <c r="A200" s="7" t="s">
        <v>353</v>
      </c>
      <c r="B200" s="7" t="s">
        <v>201</v>
      </c>
      <c r="C200" s="7" t="s">
        <v>63</v>
      </c>
      <c r="D200" s="7" t="s">
        <v>60</v>
      </c>
      <c r="E200" s="7" t="s">
        <v>67</v>
      </c>
      <c r="F200" s="28" t="n">
        <v>46212.5625</v>
      </c>
      <c r="G200" s="29" t="n">
        <v>62961.00528</v>
      </c>
      <c r="H200" s="29" t="n">
        <v>63306.4026</v>
      </c>
      <c r="I200" s="28" t="n">
        <v>46212.6145833333</v>
      </c>
      <c r="J200" s="29" t="n">
        <v>62885.423899866</v>
      </c>
      <c r="K200" s="7" t="s">
        <v>69</v>
      </c>
      <c r="L200" s="30" t="n">
        <v>0.003</v>
      </c>
      <c r="M200" s="12" t="n">
        <f aca="false">L200*G200*Settings!$B$5</f>
        <v>16621.70539392</v>
      </c>
      <c r="N200" s="31" t="n">
        <f aca="false">(I200-F200)*24</f>
        <v>1.25</v>
      </c>
      <c r="O200" s="12" t="n">
        <v>27.3947307870732</v>
      </c>
      <c r="P200" s="12" t="n">
        <v>7.5387185519196</v>
      </c>
      <c r="Q200" s="12" t="n">
        <f aca="false">2*Calculator!$C$5*M200</f>
        <v>19.6136123648256</v>
      </c>
      <c r="R200" s="12" t="n">
        <f aca="false">O200-P200-Q200</f>
        <v>0.242399870328001</v>
      </c>
      <c r="S200" s="12" t="n">
        <f aca="false">O200+2*Calculator!$C$6*M200</f>
        <v>34.0434129446412</v>
      </c>
      <c r="T200" s="12" t="n">
        <f aca="false">S200-2*Calculator!$B$6*M200</f>
        <v>27.3947307870732</v>
      </c>
      <c r="U200" s="12" t="n">
        <f aca="false">2*Calculator!$B$5*M200</f>
        <v>19.6136123648256</v>
      </c>
      <c r="V200" s="12" t="n">
        <f aca="false">R200*Calculator!$B$7/Calculator!$C$7</f>
        <v>0.242399870328001</v>
      </c>
      <c r="W200" s="14" t="n">
        <f aca="false">T200-U200-V200</f>
        <v>7.5387185519196</v>
      </c>
      <c r="X200" s="7" t="str">
        <f aca="false">LEFT(A200,7)</f>
        <v>2026-07</v>
      </c>
    </row>
    <row r="201" customFormat="false" ht="15" hidden="false" customHeight="false" outlineLevel="0" collapsed="false">
      <c r="A201" s="7" t="s">
        <v>354</v>
      </c>
      <c r="B201" s="7" t="s">
        <v>205</v>
      </c>
      <c r="C201" s="7" t="s">
        <v>63</v>
      </c>
      <c r="D201" s="7" t="s">
        <v>59</v>
      </c>
      <c r="E201" s="7" t="s">
        <v>67</v>
      </c>
      <c r="F201" s="28" t="n">
        <v>46214.5625</v>
      </c>
      <c r="G201" s="29" t="n">
        <v>64119.77348</v>
      </c>
      <c r="H201" s="29" t="n">
        <v>64243.12035</v>
      </c>
      <c r="I201" s="28" t="n">
        <v>46214.5833333333</v>
      </c>
      <c r="J201" s="29" t="n">
        <v>64255.96897407</v>
      </c>
      <c r="K201" s="7" t="s">
        <v>70</v>
      </c>
      <c r="L201" s="30" t="n">
        <v>0.008</v>
      </c>
      <c r="M201" s="12" t="n">
        <f aca="false">L201*G201*Settings!$B$5</f>
        <v>45140.32052992</v>
      </c>
      <c r="N201" s="31" t="n">
        <f aca="false">(I201-F201)*24</f>
        <v>0.5</v>
      </c>
      <c r="O201" s="12" t="n">
        <v>-95.8816278252811</v>
      </c>
      <c r="P201" s="12" t="n">
        <v>-149.429333053899</v>
      </c>
      <c r="Q201" s="12" t="n">
        <f aca="false">2*Calculator!$C$5*M201</f>
        <v>53.2655782253056</v>
      </c>
      <c r="R201" s="12" t="n">
        <f aca="false">O201-P201-Q201</f>
        <v>0.282127003311963</v>
      </c>
      <c r="S201" s="12" t="n">
        <f aca="false">O201+2*Calculator!$C$6*M201</f>
        <v>-77.8254996133131</v>
      </c>
      <c r="T201" s="12" t="n">
        <f aca="false">S201-2*Calculator!$B$6*M201</f>
        <v>-95.8816278252811</v>
      </c>
      <c r="U201" s="12" t="n">
        <f aca="false">2*Calculator!$B$5*M201</f>
        <v>53.2655782253056</v>
      </c>
      <c r="V201" s="12" t="n">
        <f aca="false">R201*Calculator!$B$7/Calculator!$C$7</f>
        <v>0.282127003311963</v>
      </c>
      <c r="W201" s="14" t="n">
        <f aca="false">T201-U201-V201</f>
        <v>-149.429333053899</v>
      </c>
      <c r="X201" s="7" t="str">
        <f aca="false">LEFT(A201,7)</f>
        <v>2026-07</v>
      </c>
    </row>
    <row r="202" customFormat="false" ht="15" hidden="false" customHeight="false" outlineLevel="0" collapsed="false">
      <c r="A202" s="7" t="s">
        <v>354</v>
      </c>
      <c r="B202" s="7" t="s">
        <v>205</v>
      </c>
      <c r="C202" s="7" t="s">
        <v>64</v>
      </c>
      <c r="D202" s="7" t="s">
        <v>60</v>
      </c>
      <c r="E202" s="7" t="s">
        <v>67</v>
      </c>
      <c r="F202" s="28" t="n">
        <v>46214.8125</v>
      </c>
      <c r="G202" s="29" t="n">
        <v>64201.05722</v>
      </c>
      <c r="H202" s="29" t="n">
        <v>64534.5043</v>
      </c>
      <c r="I202" s="28" t="n">
        <v>46214.875</v>
      </c>
      <c r="J202" s="29" t="n">
        <v>63764.912202354</v>
      </c>
      <c r="K202" s="7" t="s">
        <v>69</v>
      </c>
      <c r="L202" s="30" t="n">
        <v>0.003</v>
      </c>
      <c r="M202" s="12" t="n">
        <f aca="false">L202*G202*Settings!$B$5</f>
        <v>16949.07910608</v>
      </c>
      <c r="N202" s="31" t="n">
        <f aca="false">(I202-F202)*24</f>
        <v>1.5</v>
      </c>
      <c r="O202" s="12" t="n">
        <v>90.3061903529278</v>
      </c>
      <c r="P202" s="12" t="n">
        <v>69.9884817745144</v>
      </c>
      <c r="Q202" s="12" t="n">
        <f aca="false">2*Calculator!$C$5*M202</f>
        <v>19.9999133451744</v>
      </c>
      <c r="R202" s="12" t="n">
        <f aca="false">O202-P202-Q202</f>
        <v>0.317795233239014</v>
      </c>
      <c r="S202" s="12" t="n">
        <f aca="false">O202+2*Calculator!$C$6*M202</f>
        <v>97.0858219953598</v>
      </c>
      <c r="T202" s="12" t="n">
        <f aca="false">S202-2*Calculator!$B$6*M202</f>
        <v>90.3061903529278</v>
      </c>
      <c r="U202" s="12" t="n">
        <f aca="false">2*Calculator!$B$5*M202</f>
        <v>19.9999133451744</v>
      </c>
      <c r="V202" s="12" t="n">
        <f aca="false">R202*Calculator!$B$7/Calculator!$C$7</f>
        <v>0.317795233239014</v>
      </c>
      <c r="W202" s="14" t="n">
        <f aca="false">T202-U202-V202</f>
        <v>69.9884817745144</v>
      </c>
      <c r="X202" s="7" t="str">
        <f aca="false">LEFT(A202,7)</f>
        <v>2026-07</v>
      </c>
    </row>
    <row r="203" customFormat="false" ht="15" hidden="false" customHeight="false" outlineLevel="0" collapsed="false">
      <c r="A203" s="7" t="s">
        <v>355</v>
      </c>
      <c r="B203" s="7" t="s">
        <v>207</v>
      </c>
      <c r="C203" s="7" t="s">
        <v>63</v>
      </c>
      <c r="D203" s="7" t="s">
        <v>61</v>
      </c>
      <c r="E203" s="7" t="s">
        <v>66</v>
      </c>
      <c r="F203" s="28" t="n">
        <v>46215.59375</v>
      </c>
      <c r="G203" s="29" t="n">
        <v>63997.49694</v>
      </c>
      <c r="H203" s="29" t="n">
        <v>63770.4007</v>
      </c>
      <c r="I203" s="28" t="n">
        <v>46215.6145833333</v>
      </c>
      <c r="J203" s="29" t="n">
        <v>63757.64661986</v>
      </c>
      <c r="K203" s="7" t="s">
        <v>70</v>
      </c>
      <c r="L203" s="30" t="n">
        <v>0.005</v>
      </c>
      <c r="M203" s="12" t="n">
        <f aca="false">L203*G203*Settings!$B$5</f>
        <v>28158.8986536</v>
      </c>
      <c r="N203" s="31" t="n">
        <f aca="false">(I203-F203)*24</f>
        <v>0.5</v>
      </c>
      <c r="O203" s="12" t="n">
        <v>-105.534140861598</v>
      </c>
      <c r="P203" s="12" t="n">
        <v>-138.937634389431</v>
      </c>
      <c r="Q203" s="12" t="n">
        <f aca="false">2*Calculator!$C$5*M203</f>
        <v>33.227500411248</v>
      </c>
      <c r="R203" s="12" t="n">
        <f aca="false">O203-P203-Q203</f>
        <v>0.17599311658509</v>
      </c>
      <c r="S203" s="12" t="n">
        <f aca="false">O203+2*Calculator!$C$6*M203</f>
        <v>-94.2705814001575</v>
      </c>
      <c r="T203" s="12" t="n">
        <f aca="false">S203-2*Calculator!$B$6*M203</f>
        <v>-105.534140861598</v>
      </c>
      <c r="U203" s="12" t="n">
        <f aca="false">2*Calculator!$B$5*M203</f>
        <v>33.227500411248</v>
      </c>
      <c r="V203" s="12" t="n">
        <f aca="false">R203*Calculator!$B$7/Calculator!$C$7</f>
        <v>0.17599311658509</v>
      </c>
      <c r="W203" s="14" t="n">
        <f aca="false">T203-U203-V203</f>
        <v>-138.937634389431</v>
      </c>
      <c r="X203" s="7" t="str">
        <f aca="false">LEFT(A203,7)</f>
        <v>2026-07</v>
      </c>
    </row>
    <row r="204" customFormat="false" ht="15" hidden="false" customHeight="false" outlineLevel="0" collapsed="false">
      <c r="A204" s="7" t="s">
        <v>356</v>
      </c>
      <c r="B204" s="7" t="s">
        <v>213</v>
      </c>
      <c r="C204" s="7" t="s">
        <v>63</v>
      </c>
      <c r="D204" s="7" t="s">
        <v>60</v>
      </c>
      <c r="E204" s="7" t="s">
        <v>67</v>
      </c>
      <c r="F204" s="28" t="n">
        <v>46216.5625</v>
      </c>
      <c r="G204" s="29" t="n">
        <v>62940.20944</v>
      </c>
      <c r="H204" s="29" t="n">
        <v>63311.2242</v>
      </c>
      <c r="I204" s="28" t="n">
        <v>46216.7604166667</v>
      </c>
      <c r="J204" s="29" t="n">
        <v>62650.481280738</v>
      </c>
      <c r="K204" s="7" t="s">
        <v>69</v>
      </c>
      <c r="L204" s="30" t="n">
        <v>0.003</v>
      </c>
      <c r="M204" s="12" t="n">
        <f aca="false">L204*G204*Settings!$B$5</f>
        <v>16616.21529216</v>
      </c>
      <c r="N204" s="31" t="n">
        <f aca="false">(I204-F204)*24</f>
        <v>4.75</v>
      </c>
      <c r="O204" s="12" t="n">
        <v>66.2123227138577</v>
      </c>
      <c r="P204" s="12" t="n">
        <v>45.6532180013289</v>
      </c>
      <c r="Q204" s="12" t="n">
        <f aca="false">2*Calculator!$C$5*M204</f>
        <v>19.6071340447488</v>
      </c>
      <c r="R204" s="12" t="n">
        <f aca="false">O204-P204-Q204</f>
        <v>0.951970667779992</v>
      </c>
      <c r="S204" s="12" t="n">
        <f aca="false">O204+2*Calculator!$C$6*M204</f>
        <v>72.8588088307217</v>
      </c>
      <c r="T204" s="12" t="n">
        <f aca="false">S204-2*Calculator!$B$6*M204</f>
        <v>66.2123227138577</v>
      </c>
      <c r="U204" s="12" t="n">
        <f aca="false">2*Calculator!$B$5*M204</f>
        <v>19.6071340447488</v>
      </c>
      <c r="V204" s="12" t="n">
        <f aca="false">R204*Calculator!$B$7/Calculator!$C$7</f>
        <v>0.951970667779992</v>
      </c>
      <c r="W204" s="14" t="n">
        <f aca="false">T204-U204-V204</f>
        <v>45.6532180013289</v>
      </c>
      <c r="X204" s="7" t="str">
        <f aca="false">LEFT(A204,7)</f>
        <v>2026-07</v>
      </c>
    </row>
    <row r="205" customFormat="false" ht="15" hidden="false" customHeight="false" outlineLevel="0" collapsed="false">
      <c r="A205" s="7" t="s">
        <v>356</v>
      </c>
      <c r="B205" s="7" t="s">
        <v>213</v>
      </c>
      <c r="C205" s="7" t="s">
        <v>64</v>
      </c>
      <c r="D205" s="7" t="s">
        <v>60</v>
      </c>
      <c r="E205" s="7" t="s">
        <v>66</v>
      </c>
      <c r="F205" s="28" t="n">
        <v>46216.8125</v>
      </c>
      <c r="G205" s="29" t="n">
        <v>62312.56002</v>
      </c>
      <c r="H205" s="29" t="n">
        <v>61946.3812</v>
      </c>
      <c r="I205" s="28" t="n">
        <v>46216.8229166667</v>
      </c>
      <c r="J205" s="29" t="n">
        <v>62530.946603941</v>
      </c>
      <c r="K205" s="7" t="s">
        <v>69</v>
      </c>
      <c r="L205" s="30" t="n">
        <v>0.003</v>
      </c>
      <c r="M205" s="12" t="n">
        <f aca="false">L205*G205*Settings!$B$5</f>
        <v>16450.51584528</v>
      </c>
      <c r="N205" s="31" t="n">
        <f aca="false">(I205-F205)*24</f>
        <v>0.25</v>
      </c>
      <c r="O205" s="12" t="n">
        <v>53.4479834236488</v>
      </c>
      <c r="P205" s="12" t="n">
        <v>33.9849668642019</v>
      </c>
      <c r="Q205" s="12" t="n">
        <f aca="false">2*Calculator!$C$5*M205</f>
        <v>19.4116086974304</v>
      </c>
      <c r="R205" s="12" t="n">
        <f aca="false">O205-P205-Q205</f>
        <v>0.0514078620165002</v>
      </c>
      <c r="S205" s="12" t="n">
        <f aca="false">O205+2*Calculator!$C$6*M205</f>
        <v>60.0281897617608</v>
      </c>
      <c r="T205" s="12" t="n">
        <f aca="false">S205-2*Calculator!$B$6*M205</f>
        <v>53.4479834236488</v>
      </c>
      <c r="U205" s="12" t="n">
        <f aca="false">2*Calculator!$B$5*M205</f>
        <v>19.4116086974304</v>
      </c>
      <c r="V205" s="12" t="n">
        <f aca="false">R205*Calculator!$B$7/Calculator!$C$7</f>
        <v>0.0514078620165002</v>
      </c>
      <c r="W205" s="14" t="n">
        <f aca="false">T205-U205-V205</f>
        <v>33.9849668642019</v>
      </c>
      <c r="X205" s="7" t="str">
        <f aca="false">LEFT(A205,7)</f>
        <v>2026-07</v>
      </c>
    </row>
    <row r="206" customFormat="false" ht="15" hidden="false" customHeight="false" outlineLevel="0" collapsed="false">
      <c r="A206" s="7" t="s">
        <v>357</v>
      </c>
      <c r="B206" s="7" t="s">
        <v>209</v>
      </c>
      <c r="C206" s="7" t="s">
        <v>64</v>
      </c>
      <c r="D206" s="7" t="s">
        <v>60</v>
      </c>
      <c r="E206" s="7" t="s">
        <v>66</v>
      </c>
      <c r="F206" s="28" t="n">
        <v>46217.8125</v>
      </c>
      <c r="G206" s="29" t="n">
        <v>63815.56056</v>
      </c>
      <c r="H206" s="29" t="n">
        <v>63401.10535</v>
      </c>
      <c r="I206" s="28" t="n">
        <v>46217.84375</v>
      </c>
      <c r="J206" s="29" t="n">
        <v>63943.6949002605</v>
      </c>
      <c r="K206" s="7" t="s">
        <v>69</v>
      </c>
      <c r="L206" s="30" t="n">
        <v>0.002</v>
      </c>
      <c r="M206" s="12" t="n">
        <f aca="false">L206*G206*Settings!$B$5</f>
        <v>11231.53865856</v>
      </c>
      <c r="N206" s="31" t="n">
        <f aca="false">(I206-F206)*24</f>
        <v>0.75</v>
      </c>
      <c r="O206" s="12" t="n">
        <v>28.3850501112201</v>
      </c>
      <c r="P206" s="12" t="n">
        <v>15.0440880983493</v>
      </c>
      <c r="Q206" s="12" t="n">
        <f aca="false">2*Calculator!$C$5*M206</f>
        <v>13.2532156171008</v>
      </c>
      <c r="R206" s="12" t="n">
        <f aca="false">O206-P206-Q206</f>
        <v>0.0877463957699973</v>
      </c>
      <c r="S206" s="12" t="n">
        <f aca="false">O206+2*Calculator!$C$6*M206</f>
        <v>32.8776655746441</v>
      </c>
      <c r="T206" s="12" t="n">
        <f aca="false">S206-2*Calculator!$B$6*M206</f>
        <v>28.3850501112201</v>
      </c>
      <c r="U206" s="12" t="n">
        <f aca="false">2*Calculator!$B$5*M206</f>
        <v>13.2532156171008</v>
      </c>
      <c r="V206" s="12" t="n">
        <f aca="false">R206*Calculator!$B$7/Calculator!$C$7</f>
        <v>0.0877463957699973</v>
      </c>
      <c r="W206" s="14" t="n">
        <f aca="false">T206-U206-V206</f>
        <v>15.0440880983493</v>
      </c>
      <c r="X206" s="7" t="str">
        <f aca="false">LEFT(A206,7)</f>
        <v>2026-07</v>
      </c>
    </row>
    <row r="207" customFormat="false" ht="15" hidden="false" customHeight="false" outlineLevel="0" collapsed="false">
      <c r="A207" s="7" t="s">
        <v>358</v>
      </c>
      <c r="B207" s="7" t="s">
        <v>199</v>
      </c>
      <c r="C207" s="7" t="s">
        <v>63</v>
      </c>
      <c r="D207" s="7" t="s">
        <v>60</v>
      </c>
      <c r="E207" s="7" t="s">
        <v>67</v>
      </c>
      <c r="F207" s="28" t="n">
        <v>46218.5729166667</v>
      </c>
      <c r="G207" s="29" t="n">
        <v>64547.088</v>
      </c>
      <c r="H207" s="29" t="n">
        <v>64911.7945</v>
      </c>
      <c r="I207" s="28" t="n">
        <v>46218.75</v>
      </c>
      <c r="J207" s="29" t="n">
        <v>64924.7768589</v>
      </c>
      <c r="K207" s="7" t="s">
        <v>70</v>
      </c>
      <c r="L207" s="30" t="n">
        <v>0.003</v>
      </c>
      <c r="M207" s="12" t="n">
        <f aca="false">L207*G207*Settings!$B$5</f>
        <v>17040.431232</v>
      </c>
      <c r="N207" s="31" t="n">
        <f aca="false">(I207-F207)*24</f>
        <v>4.25</v>
      </c>
      <c r="O207" s="12" t="n">
        <v>-99.7098587495983</v>
      </c>
      <c r="P207" s="12" t="n">
        <v>-120.722840512558</v>
      </c>
      <c r="Q207" s="12" t="n">
        <f aca="false">2*Calculator!$C$5*M207</f>
        <v>20.10770885376</v>
      </c>
      <c r="R207" s="12" t="n">
        <f aca="false">O207-P207-Q207</f>
        <v>0.905272909199983</v>
      </c>
      <c r="S207" s="12" t="n">
        <f aca="false">O207+2*Calculator!$C$6*M207</f>
        <v>-92.8936862567983</v>
      </c>
      <c r="T207" s="12" t="n">
        <f aca="false">S207-2*Calculator!$B$6*M207</f>
        <v>-99.7098587495983</v>
      </c>
      <c r="U207" s="12" t="n">
        <f aca="false">2*Calculator!$B$5*M207</f>
        <v>20.10770885376</v>
      </c>
      <c r="V207" s="12" t="n">
        <f aca="false">R207*Calculator!$B$7/Calculator!$C$7</f>
        <v>0.905272909199983</v>
      </c>
      <c r="W207" s="14" t="n">
        <f aca="false">T207-U207-V207</f>
        <v>-120.722840512558</v>
      </c>
      <c r="X207" s="7" t="str">
        <f aca="false">LEFT(A207,7)</f>
        <v>2026-07</v>
      </c>
    </row>
    <row r="208" customFormat="false" ht="15" hidden="false" customHeight="false" outlineLevel="0" collapsed="false">
      <c r="A208" s="7" t="s">
        <v>358</v>
      </c>
      <c r="B208" s="7" t="s">
        <v>199</v>
      </c>
      <c r="C208" s="7" t="s">
        <v>64</v>
      </c>
      <c r="D208" s="7" t="s">
        <v>59</v>
      </c>
      <c r="E208" s="7" t="s">
        <v>67</v>
      </c>
      <c r="F208" s="28" t="n">
        <v>46218.8125</v>
      </c>
      <c r="G208" s="29" t="n">
        <v>65077.18196</v>
      </c>
      <c r="H208" s="29" t="n">
        <v>65309.31725</v>
      </c>
      <c r="I208" s="28" t="n">
        <v>46218.8125</v>
      </c>
      <c r="J208" s="29" t="n">
        <v>65322.37911345</v>
      </c>
      <c r="K208" s="7" t="s">
        <v>70</v>
      </c>
      <c r="L208" s="30" t="n">
        <v>0.004</v>
      </c>
      <c r="M208" s="12" t="n">
        <f aca="false">L208*G208*Settings!$B$5</f>
        <v>22907.16804992</v>
      </c>
      <c r="N208" s="31" t="n">
        <f aca="false">(I208-F208)*24</f>
        <v>0</v>
      </c>
      <c r="O208" s="12" t="n">
        <v>-86.3093980144016</v>
      </c>
      <c r="P208" s="12" t="n">
        <v>-113.339856313307</v>
      </c>
      <c r="Q208" s="12" t="n">
        <f aca="false">2*Calculator!$C$5*M208</f>
        <v>27.0304582989056</v>
      </c>
      <c r="R208" s="12" t="n">
        <f aca="false">O208-P208-Q208</f>
        <v>0</v>
      </c>
      <c r="S208" s="12" t="n">
        <f aca="false">O208+2*Calculator!$C$6*M208</f>
        <v>-77.1465307944335</v>
      </c>
      <c r="T208" s="12" t="n">
        <f aca="false">S208-2*Calculator!$B$6*M208</f>
        <v>-86.3093980144016</v>
      </c>
      <c r="U208" s="12" t="n">
        <f aca="false">2*Calculator!$B$5*M208</f>
        <v>27.0304582989056</v>
      </c>
      <c r="V208" s="12" t="n">
        <f aca="false">R208*Calculator!$B$7/Calculator!$C$7</f>
        <v>0</v>
      </c>
      <c r="W208" s="14" t="n">
        <f aca="false">T208-U208-V208</f>
        <v>-113.339856313307</v>
      </c>
      <c r="X208" s="7" t="str">
        <f aca="false">LEFT(A208,7)</f>
        <v>2026-07</v>
      </c>
    </row>
    <row r="209" customFormat="false" ht="15" hidden="false" customHeight="false" outlineLevel="0" collapsed="false">
      <c r="A209" s="7" t="s">
        <v>359</v>
      </c>
      <c r="B209" s="7" t="s">
        <v>201</v>
      </c>
      <c r="C209" s="7" t="s">
        <v>63</v>
      </c>
      <c r="D209" s="7" t="s">
        <v>60</v>
      </c>
      <c r="E209" s="7" t="s">
        <v>66</v>
      </c>
      <c r="F209" s="28" t="n">
        <v>46219.5625</v>
      </c>
      <c r="G209" s="29" t="n">
        <v>64212.94002</v>
      </c>
      <c r="H209" s="29" t="n">
        <v>63866.60115</v>
      </c>
      <c r="I209" s="28" t="n">
        <v>46219.5729166667</v>
      </c>
      <c r="J209" s="29" t="n">
        <v>63853.82782977</v>
      </c>
      <c r="K209" s="7" t="s">
        <v>70</v>
      </c>
      <c r="L209" s="30" t="n">
        <v>0.003</v>
      </c>
      <c r="M209" s="12" t="n">
        <f aca="false">L209*G209*Settings!$B$5</f>
        <v>16952.21616528</v>
      </c>
      <c r="N209" s="31" t="n">
        <f aca="false">(I209-F209)*24</f>
        <v>0.25</v>
      </c>
      <c r="O209" s="12" t="n">
        <v>-94.8056182207162</v>
      </c>
      <c r="P209" s="12" t="n">
        <v>-114.862208971263</v>
      </c>
      <c r="Q209" s="12" t="n">
        <f aca="false">2*Calculator!$C$5*M209</f>
        <v>20.0036150750304</v>
      </c>
      <c r="R209" s="12" t="n">
        <f aca="false">O209-P209-Q209</f>
        <v>0.0529756755165032</v>
      </c>
      <c r="S209" s="12" t="n">
        <f aca="false">O209+2*Calculator!$C$6*M209</f>
        <v>-88.0247317546042</v>
      </c>
      <c r="T209" s="12" t="n">
        <f aca="false">S209-2*Calculator!$B$6*M209</f>
        <v>-94.8056182207162</v>
      </c>
      <c r="U209" s="12" t="n">
        <f aca="false">2*Calculator!$B$5*M209</f>
        <v>20.0036150750304</v>
      </c>
      <c r="V209" s="12" t="n">
        <f aca="false">R209*Calculator!$B$7/Calculator!$C$7</f>
        <v>0.0529756755165032</v>
      </c>
      <c r="W209" s="14" t="n">
        <f aca="false">T209-U209-V209</f>
        <v>-114.862208971263</v>
      </c>
      <c r="X209" s="7" t="str">
        <f aca="false">LEFT(A209,7)</f>
        <v>2026-07</v>
      </c>
    </row>
    <row r="210" customFormat="false" ht="15" hidden="false" customHeight="false" outlineLevel="0" collapsed="false">
      <c r="A210" s="7" t="s">
        <v>359</v>
      </c>
      <c r="B210" s="7" t="s">
        <v>201</v>
      </c>
      <c r="C210" s="7" t="s">
        <v>64</v>
      </c>
      <c r="D210" s="7" t="s">
        <v>60</v>
      </c>
      <c r="E210" s="7" t="s">
        <v>66</v>
      </c>
      <c r="F210" s="28" t="n">
        <v>46219.8125</v>
      </c>
      <c r="G210" s="29" t="n">
        <v>64367.17086</v>
      </c>
      <c r="H210" s="29" t="n">
        <v>63838.2294</v>
      </c>
      <c r="I210" s="28" t="n">
        <v>46219.8229166667</v>
      </c>
      <c r="J210" s="29" t="n">
        <v>64542.653522073</v>
      </c>
      <c r="K210" s="7" t="s">
        <v>69</v>
      </c>
      <c r="L210" s="30" t="n">
        <v>0.002</v>
      </c>
      <c r="M210" s="12" t="n">
        <f aca="false">L210*G210*Settings!$B$5</f>
        <v>11328.62207136</v>
      </c>
      <c r="N210" s="31" t="n">
        <f aca="false">(I210-F210)*24</f>
        <v>0.25</v>
      </c>
      <c r="O210" s="12" t="n">
        <v>37.5783816104411</v>
      </c>
      <c r="P210" s="12" t="n">
        <v>24.1929065942498</v>
      </c>
      <c r="Q210" s="12" t="n">
        <f aca="false">2*Calculator!$C$5*M210</f>
        <v>13.3677740442048</v>
      </c>
      <c r="R210" s="12" t="n">
        <f aca="false">O210-P210-Q210</f>
        <v>0.0177009719864998</v>
      </c>
      <c r="S210" s="12" t="n">
        <f aca="false">O210+2*Calculator!$C$6*M210</f>
        <v>42.1098304389851</v>
      </c>
      <c r="T210" s="12" t="n">
        <f aca="false">S210-2*Calculator!$B$6*M210</f>
        <v>37.5783816104411</v>
      </c>
      <c r="U210" s="12" t="n">
        <f aca="false">2*Calculator!$B$5*M210</f>
        <v>13.3677740442048</v>
      </c>
      <c r="V210" s="12" t="n">
        <f aca="false">R210*Calculator!$B$7/Calculator!$C$7</f>
        <v>0.0177009719864998</v>
      </c>
      <c r="W210" s="14" t="n">
        <f aca="false">T210-U210-V210</f>
        <v>24.1929065942498</v>
      </c>
      <c r="X210" s="7" t="str">
        <f aca="false">LEFT(A210,7)</f>
        <v>2026-07</v>
      </c>
    </row>
    <row r="211" customFormat="false" ht="15" hidden="false" customHeight="false" outlineLevel="0" collapsed="false">
      <c r="A211" s="7" t="s">
        <v>360</v>
      </c>
      <c r="B211" s="7" t="s">
        <v>205</v>
      </c>
      <c r="C211" s="7" t="s">
        <v>63</v>
      </c>
      <c r="D211" s="7" t="s">
        <v>60</v>
      </c>
      <c r="E211" s="7" t="s">
        <v>67</v>
      </c>
      <c r="F211" s="28" t="n">
        <v>46221.5625</v>
      </c>
      <c r="G211" s="29" t="n">
        <v>63967.204</v>
      </c>
      <c r="H211" s="29" t="n">
        <v>64283.5802</v>
      </c>
      <c r="I211" s="28" t="n">
        <v>46221.78125</v>
      </c>
      <c r="J211" s="29" t="n">
        <v>63994.39632</v>
      </c>
      <c r="K211" s="7" t="s">
        <v>71</v>
      </c>
      <c r="L211" s="30" t="n">
        <v>0.003</v>
      </c>
      <c r="M211" s="12" t="n">
        <f aca="false">L211*G211*Settings!$B$5</f>
        <v>16887.341856</v>
      </c>
      <c r="N211" s="31" t="n">
        <f aca="false">(I211-F211)*24</f>
        <v>5.25</v>
      </c>
      <c r="O211" s="12" t="n">
        <v>-7.17877248000051</v>
      </c>
      <c r="P211" s="12" t="n">
        <v>-28.2140676793805</v>
      </c>
      <c r="Q211" s="12" t="n">
        <f aca="false">2*Calculator!$C$5*M211</f>
        <v>19.92706339008</v>
      </c>
      <c r="R211" s="12" t="n">
        <f aca="false">O211-P211-Q211</f>
        <v>1.1082318093</v>
      </c>
      <c r="S211" s="12" t="n">
        <f aca="false">O211+2*Calculator!$C$6*M211</f>
        <v>-0.423835737600509</v>
      </c>
      <c r="T211" s="12" t="n">
        <f aca="false">S211-2*Calculator!$B$6*M211</f>
        <v>-7.17877248000051</v>
      </c>
      <c r="U211" s="12" t="n">
        <f aca="false">2*Calculator!$B$5*M211</f>
        <v>19.92706339008</v>
      </c>
      <c r="V211" s="12" t="n">
        <f aca="false">R211*Calculator!$B$7/Calculator!$C$7</f>
        <v>1.1082318093</v>
      </c>
      <c r="W211" s="14" t="n">
        <f aca="false">T211-U211-V211</f>
        <v>-28.2140676793805</v>
      </c>
      <c r="X211" s="7" t="str">
        <f aca="false">LEFT(A211,7)</f>
        <v>2026-07</v>
      </c>
    </row>
    <row r="212" customFormat="false" ht="15" hidden="false" customHeight="false" outlineLevel="0" collapsed="false">
      <c r="A212" s="7" t="s">
        <v>361</v>
      </c>
      <c r="B212" s="7" t="s">
        <v>207</v>
      </c>
      <c r="C212" s="7" t="s">
        <v>64</v>
      </c>
      <c r="D212" s="7" t="s">
        <v>61</v>
      </c>
      <c r="E212" s="7" t="s">
        <v>66</v>
      </c>
      <c r="F212" s="28" t="n">
        <v>46222.84375</v>
      </c>
      <c r="G212" s="29" t="n">
        <v>64512.9</v>
      </c>
      <c r="H212" s="29" t="n">
        <v>64359.01645</v>
      </c>
      <c r="I212" s="28" t="n">
        <v>46222.84375</v>
      </c>
      <c r="J212" s="29" t="n">
        <v>64581.6102066775</v>
      </c>
      <c r="K212" s="7" t="s">
        <v>69</v>
      </c>
      <c r="L212" s="30" t="n">
        <v>0.007</v>
      </c>
      <c r="M212" s="12" t="n">
        <f aca="false">L212*G212*Settings!$B$5</f>
        <v>39739.9464</v>
      </c>
      <c r="N212" s="31" t="n">
        <f aca="false">(I212-F212)*24</f>
        <v>0</v>
      </c>
      <c r="O212" s="12" t="n">
        <v>41.0882777047599</v>
      </c>
      <c r="P212" s="12" t="n">
        <v>-5.8048590472401</v>
      </c>
      <c r="Q212" s="12" t="n">
        <f aca="false">2*Calculator!$C$5*M212</f>
        <v>46.893136752</v>
      </c>
      <c r="R212" s="12" t="n">
        <f aca="false">O212-P212-Q212</f>
        <v>0</v>
      </c>
      <c r="S212" s="12" t="n">
        <f aca="false">O212+2*Calculator!$C$6*M212</f>
        <v>56.9842562647599</v>
      </c>
      <c r="T212" s="12" t="n">
        <f aca="false">S212-2*Calculator!$B$6*M212</f>
        <v>41.0882777047599</v>
      </c>
      <c r="U212" s="12" t="n">
        <f aca="false">2*Calculator!$B$5*M212</f>
        <v>46.893136752</v>
      </c>
      <c r="V212" s="12" t="n">
        <f aca="false">R212*Calculator!$B$7/Calculator!$C$7</f>
        <v>0</v>
      </c>
      <c r="W212" s="14" t="n">
        <f aca="false">T212-U212-V212</f>
        <v>-5.8048590472401</v>
      </c>
      <c r="X212" s="7" t="str">
        <f aca="false">LEFT(A212,7)</f>
        <v>2026-07</v>
      </c>
    </row>
    <row r="213" customFormat="false" ht="15" hidden="false" customHeight="false" outlineLevel="0" collapsed="false">
      <c r="A213" s="7" t="s">
        <v>362</v>
      </c>
      <c r="B213" s="7" t="s">
        <v>213</v>
      </c>
      <c r="C213" s="7" t="s">
        <v>63</v>
      </c>
      <c r="D213" s="7" t="s">
        <v>59</v>
      </c>
      <c r="E213" s="7" t="s">
        <v>66</v>
      </c>
      <c r="F213" s="28" t="n">
        <v>46223.5625</v>
      </c>
      <c r="G213" s="29" t="n">
        <v>64262.85</v>
      </c>
      <c r="H213" s="29" t="n">
        <v>64091.718</v>
      </c>
      <c r="I213" s="28" t="n">
        <v>46223.5833333333</v>
      </c>
      <c r="J213" s="29" t="n">
        <v>64078.8996564</v>
      </c>
      <c r="K213" s="7" t="s">
        <v>70</v>
      </c>
      <c r="L213" s="30" t="n">
        <v>0.006</v>
      </c>
      <c r="M213" s="12" t="n">
        <f aca="false">L213*G213*Settings!$B$5</f>
        <v>33930.7848</v>
      </c>
      <c r="N213" s="31" t="n">
        <f aca="false">(I213-F213)*24</f>
        <v>0.5</v>
      </c>
      <c r="O213" s="12" t="n">
        <v>-97.1257814207969</v>
      </c>
      <c r="P213" s="12" t="n">
        <v>-137.376174889797</v>
      </c>
      <c r="Q213" s="12" t="n">
        <f aca="false">2*Calculator!$C$5*M213</f>
        <v>40.038326064</v>
      </c>
      <c r="R213" s="12" t="n">
        <f aca="false">O213-P213-Q213</f>
        <v>0.212067405000063</v>
      </c>
      <c r="S213" s="12" t="n">
        <f aca="false">O213+2*Calculator!$C$6*M213</f>
        <v>-83.5534675007969</v>
      </c>
      <c r="T213" s="12" t="n">
        <f aca="false">S213-2*Calculator!$B$6*M213</f>
        <v>-97.1257814207969</v>
      </c>
      <c r="U213" s="12" t="n">
        <f aca="false">2*Calculator!$B$5*M213</f>
        <v>40.038326064</v>
      </c>
      <c r="V213" s="12" t="n">
        <f aca="false">R213*Calculator!$B$7/Calculator!$C$7</f>
        <v>0.212067405000063</v>
      </c>
      <c r="W213" s="14" t="n">
        <f aca="false">T213-U213-V213</f>
        <v>-137.376174889797</v>
      </c>
      <c r="X213" s="7" t="str">
        <f aca="false">LEFT(A213,7)</f>
        <v>2026-07</v>
      </c>
    </row>
    <row r="214" customFormat="false" ht="15" hidden="false" customHeight="false" outlineLevel="0" collapsed="false">
      <c r="A214" s="7" t="s">
        <v>363</v>
      </c>
      <c r="B214" s="7" t="s">
        <v>201</v>
      </c>
      <c r="C214" s="7" t="s">
        <v>63</v>
      </c>
      <c r="D214" s="7" t="s">
        <v>60</v>
      </c>
      <c r="E214" s="7" t="s">
        <v>66</v>
      </c>
      <c r="F214" s="28" t="n">
        <v>46226.5625</v>
      </c>
      <c r="G214" s="29" t="n">
        <v>65418.38106</v>
      </c>
      <c r="H214" s="29" t="n">
        <v>65055.925</v>
      </c>
      <c r="I214" s="28" t="n">
        <v>46226.6354166667</v>
      </c>
      <c r="J214" s="29" t="n">
        <v>65628.557647803</v>
      </c>
      <c r="K214" s="7" t="s">
        <v>69</v>
      </c>
      <c r="L214" s="30" t="n">
        <v>0.003</v>
      </c>
      <c r="M214" s="12" t="n">
        <f aca="false">L214*G214*Settings!$B$5</f>
        <v>17270.45259984</v>
      </c>
      <c r="N214" s="31" t="n">
        <f aca="false">(I214-F214)*24</f>
        <v>1.75</v>
      </c>
      <c r="O214" s="12" t="n">
        <v>51.7845929733438</v>
      </c>
      <c r="P214" s="12" t="n">
        <v>31.1176180288686</v>
      </c>
      <c r="Q214" s="12" t="n">
        <f aca="false">2*Calculator!$C$5*M214</f>
        <v>20.3791340678112</v>
      </c>
      <c r="R214" s="12" t="n">
        <f aca="false">O214-P214-Q214</f>
        <v>0.287840876664006</v>
      </c>
      <c r="S214" s="12" t="n">
        <f aca="false">O214+2*Calculator!$C$6*M214</f>
        <v>58.6927740132798</v>
      </c>
      <c r="T214" s="12" t="n">
        <f aca="false">S214-2*Calculator!$B$6*M214</f>
        <v>51.7845929733438</v>
      </c>
      <c r="U214" s="12" t="n">
        <f aca="false">2*Calculator!$B$5*M214</f>
        <v>20.3791340678112</v>
      </c>
      <c r="V214" s="12" t="n">
        <f aca="false">R214*Calculator!$B$7/Calculator!$C$7</f>
        <v>0.287840876664006</v>
      </c>
      <c r="W214" s="14" t="n">
        <f aca="false">T214-U214-V214</f>
        <v>31.1176180288686</v>
      </c>
      <c r="X214" s="7" t="str">
        <f aca="false">LEFT(A214,7)</f>
        <v>2026-07</v>
      </c>
    </row>
    <row r="215" customFormat="false" ht="15" hidden="false" customHeight="false" outlineLevel="0" collapsed="false">
      <c r="A215" s="7" t="s">
        <v>364</v>
      </c>
      <c r="B215" s="7" t="s">
        <v>205</v>
      </c>
      <c r="C215" s="7" t="s">
        <v>63</v>
      </c>
      <c r="D215" s="7" t="s">
        <v>60</v>
      </c>
      <c r="E215" s="7" t="s">
        <v>67</v>
      </c>
      <c r="F215" s="28" t="n">
        <v>46228.5625</v>
      </c>
      <c r="G215" s="29" t="n">
        <v>63960.2054</v>
      </c>
      <c r="H215" s="29" t="n">
        <v>64293.52475</v>
      </c>
      <c r="I215" s="28" t="n">
        <v>46228.59375</v>
      </c>
      <c r="J215" s="29" t="n">
        <v>63856.5986034675</v>
      </c>
      <c r="K215" s="7" t="s">
        <v>69</v>
      </c>
      <c r="L215" s="30" t="n">
        <v>0.003</v>
      </c>
      <c r="M215" s="12" t="n">
        <f aca="false">L215*G215*Settings!$B$5</f>
        <v>16885.4942256</v>
      </c>
      <c r="N215" s="31" t="n">
        <f aca="false">(I215-F215)*24</f>
        <v>0.75</v>
      </c>
      <c r="O215" s="12" t="n">
        <v>31.7780811849596</v>
      </c>
      <c r="P215" s="12" t="n">
        <v>11.6948964903866</v>
      </c>
      <c r="Q215" s="12" t="n">
        <f aca="false">2*Calculator!$C$5*M215</f>
        <v>19.924883186208</v>
      </c>
      <c r="R215" s="12" t="n">
        <f aca="false">O215-P215-Q215</f>
        <v>0.158301508365</v>
      </c>
      <c r="S215" s="12" t="n">
        <f aca="false">O215+2*Calculator!$C$6*M215</f>
        <v>38.5322788751996</v>
      </c>
      <c r="T215" s="12" t="n">
        <f aca="false">S215-2*Calculator!$B$6*M215</f>
        <v>31.7780811849596</v>
      </c>
      <c r="U215" s="12" t="n">
        <f aca="false">2*Calculator!$B$5*M215</f>
        <v>19.924883186208</v>
      </c>
      <c r="V215" s="12" t="n">
        <f aca="false">R215*Calculator!$B$7/Calculator!$C$7</f>
        <v>0.158301508365</v>
      </c>
      <c r="W215" s="14" t="n">
        <f aca="false">T215-U215-V215</f>
        <v>11.6948964903866</v>
      </c>
      <c r="X215" s="7" t="str">
        <f aca="false">LEFT(A215,7)</f>
        <v>2026-07</v>
      </c>
    </row>
    <row r="216" customFormat="false" ht="15" hidden="false" customHeight="false" outlineLevel="0" collapsed="false">
      <c r="A216" s="7" t="s">
        <v>364</v>
      </c>
      <c r="B216" s="7" t="s">
        <v>205</v>
      </c>
      <c r="C216" s="7" t="s">
        <v>64</v>
      </c>
      <c r="D216" s="7" t="s">
        <v>60</v>
      </c>
      <c r="E216" s="7" t="s">
        <v>67</v>
      </c>
      <c r="F216" s="28" t="n">
        <v>46228.8125</v>
      </c>
      <c r="G216" s="29" t="n">
        <v>64123.97264</v>
      </c>
      <c r="H216" s="29" t="n">
        <v>64457.5596</v>
      </c>
      <c r="I216" s="28" t="n">
        <v>46229.0520833333</v>
      </c>
      <c r="J216" s="29" t="n">
        <v>64382.77398</v>
      </c>
      <c r="K216" s="7" t="s">
        <v>71</v>
      </c>
      <c r="L216" s="30" t="n">
        <v>0.003</v>
      </c>
      <c r="M216" s="12" t="n">
        <f aca="false">L216*G216*Settings!$B$5</f>
        <v>16928.72877696</v>
      </c>
      <c r="N216" s="31" t="n">
        <f aca="false">(I216-F216)*24</f>
        <v>5.75</v>
      </c>
      <c r="O216" s="12" t="n">
        <v>-68.3235537599976</v>
      </c>
      <c r="P216" s="12" t="n">
        <v>-89.5162060976544</v>
      </c>
      <c r="Q216" s="12" t="n">
        <f aca="false">2*Calculator!$C$5*M216</f>
        <v>19.9758999568128</v>
      </c>
      <c r="R216" s="12" t="n">
        <f aca="false">O216-P216-Q216</f>
        <v>1.21675238084399</v>
      </c>
      <c r="S216" s="12" t="n">
        <f aca="false">O216+2*Calculator!$C$6*M216</f>
        <v>-61.5520622492136</v>
      </c>
      <c r="T216" s="12" t="n">
        <f aca="false">S216-2*Calculator!$B$6*M216</f>
        <v>-68.3235537599976</v>
      </c>
      <c r="U216" s="12" t="n">
        <f aca="false">2*Calculator!$B$5*M216</f>
        <v>19.9758999568128</v>
      </c>
      <c r="V216" s="12" t="n">
        <f aca="false">R216*Calculator!$B$7/Calculator!$C$7</f>
        <v>1.21675238084399</v>
      </c>
      <c r="W216" s="14" t="n">
        <f aca="false">T216-U216-V216</f>
        <v>-89.5162060976544</v>
      </c>
      <c r="X216" s="7" t="str">
        <f aca="false">LEFT(A216,7)</f>
        <v>2026-07</v>
      </c>
    </row>
    <row r="217" customFormat="false" ht="15" hidden="false" customHeight="false" outlineLevel="0" collapsed="false">
      <c r="A217" s="7" t="s">
        <v>365</v>
      </c>
      <c r="B217" s="7" t="s">
        <v>207</v>
      </c>
      <c r="C217" s="7" t="s">
        <v>64</v>
      </c>
      <c r="D217" s="7" t="s">
        <v>60</v>
      </c>
      <c r="E217" s="7" t="s">
        <v>67</v>
      </c>
      <c r="F217" s="28" t="n">
        <v>46229.8125</v>
      </c>
      <c r="G217" s="29" t="n">
        <v>64479.00162</v>
      </c>
      <c r="H217" s="29" t="n">
        <v>64824.8048</v>
      </c>
      <c r="I217" s="28" t="n">
        <v>46229.9166666667</v>
      </c>
      <c r="J217" s="29" t="n">
        <v>64837.76976096</v>
      </c>
      <c r="K217" s="7" t="s">
        <v>70</v>
      </c>
      <c r="L217" s="30" t="n">
        <v>0.003</v>
      </c>
      <c r="M217" s="12" t="n">
        <f aca="false">L217*G217*Settings!$B$5</f>
        <v>17022.45642768</v>
      </c>
      <c r="N217" s="31" t="n">
        <f aca="false">(I217-F217)*24</f>
        <v>2.5</v>
      </c>
      <c r="O217" s="12" t="n">
        <v>-94.7147892134393</v>
      </c>
      <c r="P217" s="12" t="n">
        <v>-115.333239561467</v>
      </c>
      <c r="Q217" s="12" t="n">
        <f aca="false">2*Calculator!$C$5*M217</f>
        <v>20.0864985846624</v>
      </c>
      <c r="R217" s="12" t="n">
        <f aca="false">O217-P217-Q217</f>
        <v>0.531951763365022</v>
      </c>
      <c r="S217" s="12" t="n">
        <f aca="false">O217+2*Calculator!$C$6*M217</f>
        <v>-87.9058066423673</v>
      </c>
      <c r="T217" s="12" t="n">
        <f aca="false">S217-2*Calculator!$B$6*M217</f>
        <v>-94.7147892134393</v>
      </c>
      <c r="U217" s="12" t="n">
        <f aca="false">2*Calculator!$B$5*M217</f>
        <v>20.0864985846624</v>
      </c>
      <c r="V217" s="12" t="n">
        <f aca="false">R217*Calculator!$B$7/Calculator!$C$7</f>
        <v>0.531951763365022</v>
      </c>
      <c r="W217" s="14" t="n">
        <f aca="false">T217-U217-V217</f>
        <v>-115.333239561467</v>
      </c>
      <c r="X217" s="7" t="str">
        <f aca="false">LEFT(A217,7)</f>
        <v>2026-07</v>
      </c>
    </row>
    <row r="218" customFormat="false" ht="15" hidden="false" customHeight="false" outlineLevel="0" collapsed="false">
      <c r="A218" s="7" t="s">
        <v>366</v>
      </c>
      <c r="B218" s="7" t="s">
        <v>213</v>
      </c>
      <c r="C218" s="7" t="s">
        <v>64</v>
      </c>
      <c r="D218" s="7" t="s">
        <v>60</v>
      </c>
      <c r="E218" s="7" t="s">
        <v>67</v>
      </c>
      <c r="F218" s="28" t="n">
        <v>46230.8125</v>
      </c>
      <c r="G218" s="29" t="n">
        <v>65176.36212</v>
      </c>
      <c r="H218" s="29" t="n">
        <v>65962.0997</v>
      </c>
      <c r="I218" s="28" t="n">
        <v>46230.84375</v>
      </c>
      <c r="J218" s="29" t="n">
        <v>64628.257461879</v>
      </c>
      <c r="K218" s="7" t="s">
        <v>69</v>
      </c>
      <c r="L218" s="30" t="n">
        <v>0.001</v>
      </c>
      <c r="M218" s="12" t="n">
        <f aca="false">L218*G218*Settings!$B$5</f>
        <v>5735.51986656</v>
      </c>
      <c r="N218" s="31" t="n">
        <f aca="false">(I218-F218)*24</f>
        <v>0.75</v>
      </c>
      <c r="O218" s="12" t="n">
        <v>48.2332099146489</v>
      </c>
      <c r="P218" s="12" t="n">
        <v>41.4115259733591</v>
      </c>
      <c r="Q218" s="12" t="n">
        <f aca="false">2*Calculator!$C$5*M218</f>
        <v>6.7679134425408</v>
      </c>
      <c r="R218" s="12" t="n">
        <f aca="false">O218-P218-Q218</f>
        <v>0.0537704987489969</v>
      </c>
      <c r="S218" s="12" t="n">
        <f aca="false">O218+2*Calculator!$C$6*M218</f>
        <v>50.5274178612729</v>
      </c>
      <c r="T218" s="12" t="n">
        <f aca="false">S218-2*Calculator!$B$6*M218</f>
        <v>48.2332099146489</v>
      </c>
      <c r="U218" s="12" t="n">
        <f aca="false">2*Calculator!$B$5*M218</f>
        <v>6.7679134425408</v>
      </c>
      <c r="V218" s="12" t="n">
        <f aca="false">R218*Calculator!$B$7/Calculator!$C$7</f>
        <v>0.0537704987489969</v>
      </c>
      <c r="W218" s="14" t="n">
        <f aca="false">T218-U218-V218</f>
        <v>41.4115259733591</v>
      </c>
      <c r="X218" s="7" t="str">
        <f aca="false">LEFT(A218,7)</f>
        <v>2026-07</v>
      </c>
    </row>
    <row r="219" customFormat="false" ht="15" hidden="false" customHeight="false" outlineLevel="0" collapsed="false">
      <c r="A219" s="7" t="s">
        <v>367</v>
      </c>
      <c r="B219" s="7" t="s">
        <v>209</v>
      </c>
      <c r="C219" s="7" t="s">
        <v>63</v>
      </c>
      <c r="D219" s="7" t="s">
        <v>60</v>
      </c>
      <c r="E219" s="7" t="s">
        <v>66</v>
      </c>
      <c r="F219" s="28" t="n">
        <v>46231.5625</v>
      </c>
      <c r="G219" s="29" t="n">
        <v>63489.49536</v>
      </c>
      <c r="H219" s="29" t="n">
        <v>63162.8822</v>
      </c>
      <c r="I219" s="28" t="n">
        <v>46231.78125</v>
      </c>
      <c r="J219" s="29" t="n">
        <v>63467.00406</v>
      </c>
      <c r="K219" s="7" t="s">
        <v>71</v>
      </c>
      <c r="L219" s="30" t="n">
        <v>0.003</v>
      </c>
      <c r="M219" s="12" t="n">
        <f aca="false">L219*G219*Settings!$B$5</f>
        <v>16761.22677504</v>
      </c>
      <c r="N219" s="31" t="n">
        <f aca="false">(I219-F219)*24</f>
        <v>5.25</v>
      </c>
      <c r="O219" s="12" t="n">
        <v>-5.9377032000004</v>
      </c>
      <c r="P219" s="12" t="n">
        <v>-26.8159063016596</v>
      </c>
      <c r="Q219" s="12" t="n">
        <f aca="false">2*Calculator!$C$5*M219</f>
        <v>19.7782475945472</v>
      </c>
      <c r="R219" s="12" t="n">
        <f aca="false">O219-P219-Q219</f>
        <v>1.099955507112</v>
      </c>
      <c r="S219" s="12" t="n">
        <f aca="false">O219+2*Calculator!$C$6*M219</f>
        <v>0.766787510015603</v>
      </c>
      <c r="T219" s="12" t="n">
        <f aca="false">S219-2*Calculator!$B$6*M219</f>
        <v>-5.9377032000004</v>
      </c>
      <c r="U219" s="12" t="n">
        <f aca="false">2*Calculator!$B$5*M219</f>
        <v>19.7782475945472</v>
      </c>
      <c r="V219" s="12" t="n">
        <f aca="false">R219*Calculator!$B$7/Calculator!$C$7</f>
        <v>1.099955507112</v>
      </c>
      <c r="W219" s="14" t="n">
        <f aca="false">T219-U219-V219</f>
        <v>-26.8159063016596</v>
      </c>
      <c r="X219" s="7" t="str">
        <f aca="false">LEFT(A219,7)</f>
        <v>2026-07</v>
      </c>
    </row>
    <row r="220" customFormat="false" ht="15" hidden="false" customHeight="false" outlineLevel="0" collapsed="false">
      <c r="A220" s="7" t="s">
        <v>367</v>
      </c>
      <c r="B220" s="7" t="s">
        <v>209</v>
      </c>
      <c r="C220" s="7" t="s">
        <v>64</v>
      </c>
      <c r="D220" s="7" t="s">
        <v>60</v>
      </c>
      <c r="E220" s="7" t="s">
        <v>66</v>
      </c>
      <c r="F220" s="28" t="n">
        <v>46231.8125</v>
      </c>
      <c r="G220" s="29" t="n">
        <v>63091.51578</v>
      </c>
      <c r="H220" s="29" t="n">
        <v>62532.3325</v>
      </c>
      <c r="I220" s="28" t="n">
        <v>46231.8541666667</v>
      </c>
      <c r="J220" s="29" t="n">
        <v>63368.527939164</v>
      </c>
      <c r="K220" s="7" t="s">
        <v>69</v>
      </c>
      <c r="L220" s="30" t="n">
        <v>0.002</v>
      </c>
      <c r="M220" s="12" t="n">
        <f aca="false">L220*G220*Settings!$B$5</f>
        <v>11104.10677728</v>
      </c>
      <c r="N220" s="31" t="n">
        <f aca="false">(I220-F220)*24</f>
        <v>1</v>
      </c>
      <c r="O220" s="12" t="n">
        <v>47.8658028358399</v>
      </c>
      <c r="P220" s="12" t="n">
        <v>34.6588558376125</v>
      </c>
      <c r="Q220" s="12" t="n">
        <f aca="false">2*Calculator!$C$5*M220</f>
        <v>13.1028459971904</v>
      </c>
      <c r="R220" s="12" t="n">
        <f aca="false">O220-P220-Q220</f>
        <v>0.104101001037009</v>
      </c>
      <c r="S220" s="12" t="n">
        <f aca="false">O220+2*Calculator!$C$6*M220</f>
        <v>52.3074455467519</v>
      </c>
      <c r="T220" s="12" t="n">
        <f aca="false">S220-2*Calculator!$B$6*M220</f>
        <v>47.8658028358399</v>
      </c>
      <c r="U220" s="12" t="n">
        <f aca="false">2*Calculator!$B$5*M220</f>
        <v>13.1028459971904</v>
      </c>
      <c r="V220" s="12" t="n">
        <f aca="false">R220*Calculator!$B$7/Calculator!$C$7</f>
        <v>0.104101001037009</v>
      </c>
      <c r="W220" s="14" t="n">
        <f aca="false">T220-U220-V220</f>
        <v>34.6588558376125</v>
      </c>
      <c r="X220" s="7" t="str">
        <f aca="false">LEFT(A220,7)</f>
        <v>2026-07</v>
      </c>
    </row>
    <row r="221" customFormat="false" ht="15" hidden="false" customHeight="false" outlineLevel="0" collapsed="false">
      <c r="A221" s="7" t="s">
        <v>368</v>
      </c>
      <c r="B221" s="7" t="s">
        <v>201</v>
      </c>
      <c r="C221" s="7" t="s">
        <v>63</v>
      </c>
      <c r="D221" s="7" t="s">
        <v>60</v>
      </c>
      <c r="E221" s="7" t="s">
        <v>67</v>
      </c>
      <c r="F221" s="28" t="n">
        <v>46233.5729166667</v>
      </c>
      <c r="G221" s="29" t="n">
        <v>63965.30438</v>
      </c>
      <c r="H221" s="29" t="n">
        <v>64330.89215</v>
      </c>
      <c r="I221" s="28" t="n">
        <v>46233.59375</v>
      </c>
      <c r="J221" s="29" t="n">
        <v>64343.75832843</v>
      </c>
      <c r="K221" s="7" t="s">
        <v>70</v>
      </c>
      <c r="L221" s="30" t="n">
        <v>0.003</v>
      </c>
      <c r="M221" s="12" t="n">
        <f aca="false">L221*G221*Settings!$B$5</f>
        <v>16886.84035632</v>
      </c>
      <c r="N221" s="31" t="n">
        <f aca="false">(I221-F221)*24</f>
        <v>0.5</v>
      </c>
      <c r="O221" s="12" t="n">
        <v>-99.9118423855172</v>
      </c>
      <c r="P221" s="12" t="n">
        <v>-119.943856758202</v>
      </c>
      <c r="Q221" s="12" t="n">
        <f aca="false">2*Calculator!$C$5*M221</f>
        <v>19.9264716204576</v>
      </c>
      <c r="R221" s="12" t="n">
        <f aca="false">O221-P221-Q221</f>
        <v>0.105542752226999</v>
      </c>
      <c r="S221" s="12" t="n">
        <f aca="false">O221+2*Calculator!$C$6*M221</f>
        <v>-93.1571062429892</v>
      </c>
      <c r="T221" s="12" t="n">
        <f aca="false">S221-2*Calculator!$B$6*M221</f>
        <v>-99.9118423855172</v>
      </c>
      <c r="U221" s="12" t="n">
        <f aca="false">2*Calculator!$B$5*M221</f>
        <v>19.9264716204576</v>
      </c>
      <c r="V221" s="12" t="n">
        <f aca="false">R221*Calculator!$B$7/Calculator!$C$7</f>
        <v>0.105542752226999</v>
      </c>
      <c r="W221" s="14" t="n">
        <f aca="false">T221-U221-V221</f>
        <v>-119.943856758202</v>
      </c>
      <c r="X221" s="7" t="str">
        <f aca="false">LEFT(A221,7)</f>
        <v>2026-07</v>
      </c>
    </row>
    <row r="222" customFormat="false" ht="15" hidden="false" customHeight="false" outlineLevel="0" collapsed="false">
      <c r="A222" s="7" t="s">
        <v>368</v>
      </c>
      <c r="B222" s="7" t="s">
        <v>201</v>
      </c>
      <c r="C222" s="7" t="s">
        <v>64</v>
      </c>
      <c r="D222" s="7" t="s">
        <v>60</v>
      </c>
      <c r="E222" s="7" t="s">
        <v>67</v>
      </c>
      <c r="F222" s="28" t="n">
        <v>46233.8125</v>
      </c>
      <c r="G222" s="29" t="n">
        <v>64982.80084</v>
      </c>
      <c r="H222" s="29" t="n">
        <v>65289.38605</v>
      </c>
      <c r="I222" s="28" t="n">
        <v>46233.8229166667</v>
      </c>
      <c r="J222" s="29" t="n">
        <v>64777.1991517605</v>
      </c>
      <c r="K222" s="7" t="s">
        <v>69</v>
      </c>
      <c r="L222" s="30" t="n">
        <v>0.003</v>
      </c>
      <c r="M222" s="12" t="n">
        <f aca="false">L222*G222*Settings!$B$5</f>
        <v>17155.45942176</v>
      </c>
      <c r="N222" s="31" t="n">
        <f aca="false">(I222-F222)*24</f>
        <v>0.25</v>
      </c>
      <c r="O222" s="12" t="n">
        <v>48.5346470252188</v>
      </c>
      <c r="P222" s="12" t="n">
        <v>28.25546436708</v>
      </c>
      <c r="Q222" s="12" t="n">
        <f aca="false">2*Calculator!$C$5*M222</f>
        <v>20.2434421176768</v>
      </c>
      <c r="R222" s="12" t="n">
        <f aca="false">O222-P222-Q222</f>
        <v>0.0357405404620046</v>
      </c>
      <c r="S222" s="12" t="n">
        <f aca="false">O222+2*Calculator!$C$6*M222</f>
        <v>55.3968307939228</v>
      </c>
      <c r="T222" s="12" t="n">
        <f aca="false">S222-2*Calculator!$B$6*M222</f>
        <v>48.5346470252188</v>
      </c>
      <c r="U222" s="12" t="n">
        <f aca="false">2*Calculator!$B$5*M222</f>
        <v>20.2434421176768</v>
      </c>
      <c r="V222" s="12" t="n">
        <f aca="false">R222*Calculator!$B$7/Calculator!$C$7</f>
        <v>0.0357405404620046</v>
      </c>
      <c r="W222" s="14" t="n">
        <f aca="false">T222-U222-V222</f>
        <v>28.25546436708</v>
      </c>
      <c r="X222" s="7" t="str">
        <f aca="false">LEFT(A222,7)</f>
        <v>2026-07</v>
      </c>
    </row>
    <row r="223" customFormat="false" ht="15" hidden="false" customHeight="false" outlineLevel="0" collapsed="false">
      <c r="A223" s="7" t="s">
        <v>369</v>
      </c>
      <c r="B223" s="7" t="s">
        <v>203</v>
      </c>
      <c r="C223" s="7" t="s">
        <v>63</v>
      </c>
      <c r="D223" s="7" t="s">
        <v>60</v>
      </c>
      <c r="E223" s="7" t="s">
        <v>67</v>
      </c>
      <c r="F223" s="28" t="n">
        <v>46234.5625</v>
      </c>
      <c r="G223" s="29" t="n">
        <v>63896.31818</v>
      </c>
      <c r="H223" s="29" t="n">
        <v>64290.6117</v>
      </c>
      <c r="I223" s="28" t="n">
        <v>46234.6354166667</v>
      </c>
      <c r="J223" s="29" t="n">
        <v>63712.513334676</v>
      </c>
      <c r="K223" s="7" t="s">
        <v>69</v>
      </c>
      <c r="L223" s="30" t="n">
        <v>0.002</v>
      </c>
      <c r="M223" s="12" t="n">
        <f aca="false">L223*G223*Settings!$B$5</f>
        <v>11245.75199968</v>
      </c>
      <c r="N223" s="31" t="n">
        <f aca="false">(I223-F223)*24</f>
        <v>1.75</v>
      </c>
      <c r="O223" s="12" t="n">
        <v>32.4026358515205</v>
      </c>
      <c r="P223" s="12" t="n">
        <v>18.9217906419041</v>
      </c>
      <c r="Q223" s="12" t="n">
        <f aca="false">2*Calculator!$C$5*M223</f>
        <v>13.2699873596224</v>
      </c>
      <c r="R223" s="12" t="n">
        <f aca="false">O223-P223-Q223</f>
        <v>0.210857849993996</v>
      </c>
      <c r="S223" s="12" t="n">
        <f aca="false">O223+2*Calculator!$C$6*M223</f>
        <v>36.9009366513925</v>
      </c>
      <c r="T223" s="12" t="n">
        <f aca="false">S223-2*Calculator!$B$6*M223</f>
        <v>32.4026358515205</v>
      </c>
      <c r="U223" s="12" t="n">
        <f aca="false">2*Calculator!$B$5*M223</f>
        <v>13.2699873596224</v>
      </c>
      <c r="V223" s="12" t="n">
        <f aca="false">R223*Calculator!$B$7/Calculator!$C$7</f>
        <v>0.210857849993996</v>
      </c>
      <c r="W223" s="14" t="n">
        <f aca="false">T223-U223-V223</f>
        <v>18.9217906419041</v>
      </c>
      <c r="X223" s="7" t="str">
        <f aca="false">LEFT(A223,7)</f>
        <v>2026-07</v>
      </c>
    </row>
    <row r="224" customFormat="false" ht="15" hidden="false" customHeight="false" outlineLevel="0" collapsed="false">
      <c r="A224" s="7" t="s">
        <v>369</v>
      </c>
      <c r="B224" s="7" t="s">
        <v>203</v>
      </c>
      <c r="C224" s="7" t="s">
        <v>64</v>
      </c>
      <c r="D224" s="7" t="s">
        <v>59</v>
      </c>
      <c r="E224" s="7" t="s">
        <v>67</v>
      </c>
      <c r="F224" s="28" t="n">
        <v>46234.8125</v>
      </c>
      <c r="G224" s="29" t="n">
        <v>63235.3504</v>
      </c>
      <c r="H224" s="29" t="n">
        <v>63525.44545</v>
      </c>
      <c r="I224" s="28" t="n">
        <v>46234.8125</v>
      </c>
      <c r="J224" s="29" t="n">
        <v>62495.5203672525</v>
      </c>
      <c r="K224" s="7" t="s">
        <v>69</v>
      </c>
      <c r="L224" s="30" t="n">
        <v>0.003</v>
      </c>
      <c r="M224" s="12" t="n">
        <f aca="false">L224*G224*Settings!$B$5</f>
        <v>16694.1325056</v>
      </c>
      <c r="N224" s="31" t="n">
        <f aca="false">(I224-F224)*24</f>
        <v>0</v>
      </c>
      <c r="O224" s="12" t="n">
        <v>141.863878632961</v>
      </c>
      <c r="P224" s="12" t="n">
        <v>122.164802276353</v>
      </c>
      <c r="Q224" s="12" t="n">
        <f aca="false">2*Calculator!$C$5*M224</f>
        <v>19.699076356608</v>
      </c>
      <c r="R224" s="12" t="n">
        <f aca="false">O224-P224-Q224</f>
        <v>0</v>
      </c>
      <c r="S224" s="12" t="n">
        <f aca="false">O224+2*Calculator!$C$6*M224</f>
        <v>148.541531635201</v>
      </c>
      <c r="T224" s="12" t="n">
        <f aca="false">S224-2*Calculator!$B$6*M224</f>
        <v>141.863878632961</v>
      </c>
      <c r="U224" s="12" t="n">
        <f aca="false">2*Calculator!$B$5*M224</f>
        <v>19.699076356608</v>
      </c>
      <c r="V224" s="12" t="n">
        <f aca="false">R224*Calculator!$B$7/Calculator!$C$7</f>
        <v>0</v>
      </c>
      <c r="W224" s="14" t="n">
        <f aca="false">T224-U224-V224</f>
        <v>122.164802276353</v>
      </c>
      <c r="X224" s="7" t="str">
        <f aca="false">LEFT(A224,7)</f>
        <v>2026-07</v>
      </c>
    </row>
    <row r="225" customFormat="false" ht="15" hidden="false" customHeight="false" outlineLevel="0" collapsed="false">
      <c r="A225" s="7" t="s">
        <v>370</v>
      </c>
      <c r="B225" s="7" t="s">
        <v>205</v>
      </c>
      <c r="C225" s="7" t="s">
        <v>64</v>
      </c>
      <c r="D225" s="7" t="s">
        <v>59</v>
      </c>
      <c r="E225" s="7" t="s">
        <v>67</v>
      </c>
      <c r="F225" s="28" t="n">
        <v>46235.8125</v>
      </c>
      <c r="G225" s="29" t="n">
        <v>63023.99268</v>
      </c>
      <c r="H225" s="29" t="n">
        <v>63140.86945</v>
      </c>
      <c r="I225" s="28" t="n">
        <v>46235.90625</v>
      </c>
      <c r="J225" s="29" t="n">
        <v>62935.7389225703</v>
      </c>
      <c r="K225" s="7" t="s">
        <v>72</v>
      </c>
      <c r="L225" s="30" t="n">
        <v>0.009</v>
      </c>
      <c r="M225" s="12" t="n">
        <f aca="false">L225*G225*Settings!$B$5</f>
        <v>49915.00220256</v>
      </c>
      <c r="N225" s="31" t="n">
        <f aca="false">(I225-F225)*24</f>
        <v>2.25</v>
      </c>
      <c r="O225" s="12" t="n">
        <v>54.9691897666817</v>
      </c>
      <c r="P225" s="12" t="n">
        <v>-5.26504587733805</v>
      </c>
      <c r="Q225" s="12" t="n">
        <f aca="false">2*Calculator!$C$5*M225</f>
        <v>58.8997025990208</v>
      </c>
      <c r="R225" s="12" t="n">
        <f aca="false">O225-P225-Q225</f>
        <v>1.334533044999</v>
      </c>
      <c r="S225" s="12" t="n">
        <f aca="false">O225+2*Calculator!$C$6*M225</f>
        <v>74.9351906477057</v>
      </c>
      <c r="T225" s="12" t="n">
        <f aca="false">S225-2*Calculator!$B$6*M225</f>
        <v>54.9691897666817</v>
      </c>
      <c r="U225" s="12" t="n">
        <f aca="false">2*Calculator!$B$5*M225</f>
        <v>58.8997025990208</v>
      </c>
      <c r="V225" s="12" t="n">
        <f aca="false">R225*Calculator!$B$7/Calculator!$C$7</f>
        <v>1.334533044999</v>
      </c>
      <c r="W225" s="14" t="n">
        <f aca="false">T225-U225-V225</f>
        <v>-5.26504587733805</v>
      </c>
      <c r="X225" s="7" t="str">
        <f aca="false">LEFT(A225,7)</f>
        <v>2026-08</v>
      </c>
    </row>
    <row r="226" customFormat="false" ht="15" hidden="false" customHeight="false" outlineLevel="0" collapsed="false">
      <c r="A226" s="7" t="s">
        <v>371</v>
      </c>
      <c r="B226" s="7" t="s">
        <v>207</v>
      </c>
      <c r="C226" s="7" t="s">
        <v>63</v>
      </c>
      <c r="D226" s="7" t="s">
        <v>60</v>
      </c>
      <c r="E226" s="7" t="s">
        <v>67</v>
      </c>
      <c r="F226" s="28" t="n">
        <v>46236.5729166667</v>
      </c>
      <c r="G226" s="29" t="n">
        <v>63449.8075</v>
      </c>
      <c r="H226" s="29" t="n">
        <v>63800.0139</v>
      </c>
      <c r="I226" s="28" t="n">
        <v>46236.6041666667</v>
      </c>
      <c r="J226" s="29" t="n">
        <v>63241.19731032</v>
      </c>
      <c r="K226" s="7" t="s">
        <v>69</v>
      </c>
      <c r="L226" s="30" t="n">
        <v>0.003</v>
      </c>
      <c r="M226" s="12" t="n">
        <f aca="false">L226*G226*Settings!$B$5</f>
        <v>16750.74918</v>
      </c>
      <c r="N226" s="31" t="n">
        <f aca="false">(I226-F226)*24</f>
        <v>0.75</v>
      </c>
      <c r="O226" s="12" t="n">
        <v>51.010840188</v>
      </c>
      <c r="P226" s="12" t="n">
        <v>31.1228152761624</v>
      </c>
      <c r="Q226" s="12" t="n">
        <f aca="false">2*Calculator!$C$5*M226</f>
        <v>19.7658840324</v>
      </c>
      <c r="R226" s="12" t="n">
        <f aca="false">O226-P226-Q226</f>
        <v>0.122140879437513</v>
      </c>
      <c r="S226" s="12" t="n">
        <f aca="false">O226+2*Calculator!$C$6*M226</f>
        <v>57.71113986</v>
      </c>
      <c r="T226" s="12" t="n">
        <f aca="false">S226-2*Calculator!$B$6*M226</f>
        <v>51.010840188</v>
      </c>
      <c r="U226" s="12" t="n">
        <f aca="false">2*Calculator!$B$5*M226</f>
        <v>19.7658840324</v>
      </c>
      <c r="V226" s="12" t="n">
        <f aca="false">R226*Calculator!$B$7/Calculator!$C$7</f>
        <v>0.122140879437513</v>
      </c>
      <c r="W226" s="14" t="n">
        <f aca="false">T226-U226-V226</f>
        <v>31.1228152761624</v>
      </c>
      <c r="X226" s="7" t="str">
        <f aca="false">LEFT(A226,7)</f>
        <v>2026-08</v>
      </c>
    </row>
    <row r="227" customFormat="false" ht="15" hidden="false" customHeight="false" outlineLevel="0" collapsed="false">
      <c r="A227" s="7" t="s">
        <v>372</v>
      </c>
      <c r="B227" s="7" t="s">
        <v>213</v>
      </c>
      <c r="C227" s="7" t="s">
        <v>63</v>
      </c>
      <c r="D227" s="7" t="s">
        <v>60</v>
      </c>
      <c r="E227" s="7" t="s">
        <v>66</v>
      </c>
      <c r="F227" s="28" t="n">
        <v>46237.5625</v>
      </c>
      <c r="G227" s="29" t="n">
        <v>62603.5182</v>
      </c>
      <c r="H227" s="29" t="n">
        <v>62284.55255</v>
      </c>
      <c r="I227" s="28" t="n">
        <v>46237.5833333333</v>
      </c>
      <c r="J227" s="29" t="n">
        <v>62272.09563949</v>
      </c>
      <c r="K227" s="7" t="s">
        <v>70</v>
      </c>
      <c r="L227" s="30" t="n">
        <v>0.003</v>
      </c>
      <c r="M227" s="12" t="n">
        <f aca="false">L227*G227*Settings!$B$5</f>
        <v>16527.3288048</v>
      </c>
      <c r="N227" s="31" t="n">
        <f aca="false">(I227-F227)*24</f>
        <v>0.5</v>
      </c>
      <c r="O227" s="12" t="n">
        <v>-87.49555597464</v>
      </c>
      <c r="P227" s="12" t="n">
        <v>-107.101099769334</v>
      </c>
      <c r="Q227" s="12" t="n">
        <f aca="false">2*Calculator!$C$5*M227</f>
        <v>19.502247989664</v>
      </c>
      <c r="R227" s="12" t="n">
        <f aca="false">O227-P227-Q227</f>
        <v>0.103295805030001</v>
      </c>
      <c r="S227" s="12" t="n">
        <f aca="false">O227+2*Calculator!$C$6*M227</f>
        <v>-80.88462445272</v>
      </c>
      <c r="T227" s="12" t="n">
        <f aca="false">S227-2*Calculator!$B$6*M227</f>
        <v>-87.49555597464</v>
      </c>
      <c r="U227" s="12" t="n">
        <f aca="false">2*Calculator!$B$5*M227</f>
        <v>19.502247989664</v>
      </c>
      <c r="V227" s="12" t="n">
        <f aca="false">R227*Calculator!$B$7/Calculator!$C$7</f>
        <v>0.103295805030001</v>
      </c>
      <c r="W227" s="14" t="n">
        <f aca="false">T227-U227-V227</f>
        <v>-107.101099769334</v>
      </c>
      <c r="X227" s="7" t="str">
        <f aca="false">LEFT(A227,7)</f>
        <v>2026-08</v>
      </c>
    </row>
    <row r="228" customFormat="false" ht="15" hidden="false" customHeight="false" outlineLevel="0" collapsed="false">
      <c r="A228" s="7" t="s">
        <v>372</v>
      </c>
      <c r="B228" s="7" t="s">
        <v>213</v>
      </c>
      <c r="C228" s="7" t="s">
        <v>64</v>
      </c>
      <c r="D228" s="7" t="s">
        <v>59</v>
      </c>
      <c r="E228" s="7" t="s">
        <v>66</v>
      </c>
      <c r="F228" s="28" t="n">
        <v>46237.8125</v>
      </c>
      <c r="G228" s="29" t="n">
        <v>63330.26352</v>
      </c>
      <c r="H228" s="29" t="n">
        <v>62821.52615</v>
      </c>
      <c r="I228" s="28" t="n">
        <v>46237.8333333333</v>
      </c>
      <c r="J228" s="29" t="n">
        <v>63630.9869143685</v>
      </c>
      <c r="K228" s="7" t="s">
        <v>69</v>
      </c>
      <c r="L228" s="30" t="n">
        <v>0.002</v>
      </c>
      <c r="M228" s="12" t="n">
        <f aca="false">L228*G228*Settings!$B$5</f>
        <v>11146.12637952</v>
      </c>
      <c r="N228" s="31" t="n">
        <f aca="false">(I228-F228)*24</f>
        <v>0.5</v>
      </c>
      <c r="O228" s="12" t="n">
        <v>47.7290134576209</v>
      </c>
      <c r="P228" s="12" t="n">
        <v>34.5243368623833</v>
      </c>
      <c r="Q228" s="12" t="n">
        <f aca="false">2*Calculator!$C$5*M228</f>
        <v>13.1524291278336</v>
      </c>
      <c r="R228" s="12" t="n">
        <f aca="false">O228-P228-Q228</f>
        <v>0.0522474674039994</v>
      </c>
      <c r="S228" s="12" t="n">
        <f aca="false">O228+2*Calculator!$C$6*M228</f>
        <v>52.1874640094289</v>
      </c>
      <c r="T228" s="12" t="n">
        <f aca="false">S228-2*Calculator!$B$6*M228</f>
        <v>47.7290134576209</v>
      </c>
      <c r="U228" s="12" t="n">
        <f aca="false">2*Calculator!$B$5*M228</f>
        <v>13.1524291278336</v>
      </c>
      <c r="V228" s="12" t="n">
        <f aca="false">R228*Calculator!$B$7/Calculator!$C$7</f>
        <v>0.0522474674039994</v>
      </c>
      <c r="W228" s="14" t="n">
        <f aca="false">T228-U228-V228</f>
        <v>34.5243368623833</v>
      </c>
      <c r="X228" s="7" t="str">
        <f aca="false">LEFT(A228,7)</f>
        <v>2026-08</v>
      </c>
    </row>
    <row r="229" customFormat="false" ht="15" hidden="false" customHeight="false" outlineLevel="0" collapsed="false">
      <c r="A229" s="7" t="s">
        <v>373</v>
      </c>
      <c r="B229" s="7" t="s">
        <v>209</v>
      </c>
      <c r="C229" s="7" t="s">
        <v>63</v>
      </c>
      <c r="D229" s="7" t="s">
        <v>60</v>
      </c>
      <c r="E229" s="7" t="s">
        <v>67</v>
      </c>
      <c r="F229" s="28" t="n">
        <v>46238.5625</v>
      </c>
      <c r="G229" s="29" t="n">
        <v>63653.7667</v>
      </c>
      <c r="H229" s="29" t="n">
        <v>64023.4147</v>
      </c>
      <c r="I229" s="28" t="n">
        <v>46238.6666666667</v>
      </c>
      <c r="J229" s="29" t="n">
        <v>63533.9162424</v>
      </c>
      <c r="K229" s="7" t="s">
        <v>69</v>
      </c>
      <c r="L229" s="30" t="n">
        <v>0.003</v>
      </c>
      <c r="M229" s="12" t="n">
        <f aca="false">L229*G229*Settings!$B$5</f>
        <v>16804.5944088</v>
      </c>
      <c r="N229" s="31" t="n">
        <f aca="false">(I229-F229)*24</f>
        <v>2.5</v>
      </c>
      <c r="O229" s="12" t="n">
        <v>36.2411391460812</v>
      </c>
      <c r="P229" s="12" t="n">
        <v>15.9040789542647</v>
      </c>
      <c r="Q229" s="12" t="n">
        <f aca="false">2*Calculator!$C$5*M229</f>
        <v>19.829421402384</v>
      </c>
      <c r="R229" s="12" t="n">
        <f aca="false">O229-P229-Q229</f>
        <v>0.507638789432505</v>
      </c>
      <c r="S229" s="12" t="n">
        <f aca="false">O229+2*Calculator!$C$6*M229</f>
        <v>42.9629769096012</v>
      </c>
      <c r="T229" s="12" t="n">
        <f aca="false">S229-2*Calculator!$B$6*M229</f>
        <v>36.2411391460812</v>
      </c>
      <c r="U229" s="12" t="n">
        <f aca="false">2*Calculator!$B$5*M229</f>
        <v>19.829421402384</v>
      </c>
      <c r="V229" s="12" t="n">
        <f aca="false">R229*Calculator!$B$7/Calculator!$C$7</f>
        <v>0.507638789432505</v>
      </c>
      <c r="W229" s="14" t="n">
        <f aca="false">T229-U229-V229</f>
        <v>15.9040789542647</v>
      </c>
      <c r="X229" s="7" t="str">
        <f aca="false">LEFT(A229,7)</f>
        <v>2026-08</v>
      </c>
    </row>
    <row r="230" customFormat="false" ht="15" hidden="false" customHeight="false" outlineLevel="0" collapsed="false">
      <c r="A230" s="7" t="s">
        <v>374</v>
      </c>
      <c r="B230" s="7" t="s">
        <v>201</v>
      </c>
      <c r="C230" s="7" t="s">
        <v>63</v>
      </c>
      <c r="D230" s="7" t="s">
        <v>60</v>
      </c>
      <c r="E230" s="7" t="s">
        <v>66</v>
      </c>
      <c r="F230" s="28" t="n">
        <v>46240.5625</v>
      </c>
      <c r="G230" s="29" t="n">
        <v>64802.25786</v>
      </c>
      <c r="H230" s="29" t="n">
        <v>64458.625</v>
      </c>
      <c r="I230" s="28" t="n">
        <v>46240.7291666667</v>
      </c>
      <c r="J230" s="29" t="n">
        <v>64445.733275</v>
      </c>
      <c r="K230" s="7" t="s">
        <v>70</v>
      </c>
      <c r="L230" s="30" t="n">
        <v>0.003</v>
      </c>
      <c r="M230" s="12" t="n">
        <f aca="false">L230*G230*Settings!$B$5</f>
        <v>17107.79607504</v>
      </c>
      <c r="N230" s="31" t="n">
        <f aca="false">(I230-F230)*24</f>
        <v>4</v>
      </c>
      <c r="O230" s="12" t="n">
        <v>-94.1224904399998</v>
      </c>
      <c r="P230" s="12" t="n">
        <v>-115.165079612299</v>
      </c>
      <c r="Q230" s="12" t="n">
        <f aca="false">2*Calculator!$C$5*M230</f>
        <v>20.1871993685472</v>
      </c>
      <c r="R230" s="12" t="n">
        <f aca="false">O230-P230-Q230</f>
        <v>0.855389803752019</v>
      </c>
      <c r="S230" s="12" t="n">
        <f aca="false">O230+2*Calculator!$C$6*M230</f>
        <v>-87.2793720099838</v>
      </c>
      <c r="T230" s="12" t="n">
        <f aca="false">S230-2*Calculator!$B$6*M230</f>
        <v>-94.1224904399998</v>
      </c>
      <c r="U230" s="12" t="n">
        <f aca="false">2*Calculator!$B$5*M230</f>
        <v>20.1871993685472</v>
      </c>
      <c r="V230" s="12" t="n">
        <f aca="false">R230*Calculator!$B$7/Calculator!$C$7</f>
        <v>0.855389803752019</v>
      </c>
      <c r="W230" s="14" t="n">
        <f aca="false">T230-U230-V230</f>
        <v>-115.165079612299</v>
      </c>
      <c r="X230" s="7" t="str">
        <f aca="false">LEFT(A230,7)</f>
        <v>2026-08</v>
      </c>
    </row>
    <row r="231" customFormat="false" ht="15" hidden="false" customHeight="false" outlineLevel="0" collapsed="false">
      <c r="A231" s="7" t="s">
        <v>374</v>
      </c>
      <c r="B231" s="7" t="s">
        <v>201</v>
      </c>
      <c r="C231" s="7" t="s">
        <v>64</v>
      </c>
      <c r="D231" s="7" t="s">
        <v>60</v>
      </c>
      <c r="E231" s="7" t="s">
        <v>67</v>
      </c>
      <c r="F231" s="28" t="n">
        <v>46240.8125</v>
      </c>
      <c r="G231" s="29" t="n">
        <v>64391.91904</v>
      </c>
      <c r="H231" s="29" t="n">
        <v>64699.4432</v>
      </c>
      <c r="I231" s="28" t="n">
        <v>46240.8333333333</v>
      </c>
      <c r="J231" s="29" t="n">
        <v>64712.38308864</v>
      </c>
      <c r="K231" s="7" t="s">
        <v>70</v>
      </c>
      <c r="L231" s="30" t="n">
        <v>0.003</v>
      </c>
      <c r="M231" s="12" t="n">
        <f aca="false">L231*G231*Settings!$B$5</f>
        <v>16999.46662656</v>
      </c>
      <c r="N231" s="31" t="n">
        <f aca="false">(I231-F231)*24</f>
        <v>0.5</v>
      </c>
      <c r="O231" s="12" t="n">
        <v>-84.6025088409567</v>
      </c>
      <c r="P231" s="12" t="n">
        <v>-104.768126126714</v>
      </c>
      <c r="Q231" s="12" t="n">
        <f aca="false">2*Calculator!$C$5*M231</f>
        <v>20.0593706193408</v>
      </c>
      <c r="R231" s="12" t="n">
        <f aca="false">O231-P231-Q231</f>
        <v>0.106246666416062</v>
      </c>
      <c r="S231" s="12" t="n">
        <f aca="false">O231+2*Calculator!$C$6*M231</f>
        <v>-77.8027221903327</v>
      </c>
      <c r="T231" s="12" t="n">
        <f aca="false">S231-2*Calculator!$B$6*M231</f>
        <v>-84.6025088409567</v>
      </c>
      <c r="U231" s="12" t="n">
        <f aca="false">2*Calculator!$B$5*M231</f>
        <v>20.0593706193408</v>
      </c>
      <c r="V231" s="12" t="n">
        <f aca="false">R231*Calculator!$B$7/Calculator!$C$7</f>
        <v>0.106246666416062</v>
      </c>
      <c r="W231" s="14" t="n">
        <f aca="false">T231-U231-V231</f>
        <v>-104.768126126714</v>
      </c>
      <c r="X231" s="7" t="str">
        <f aca="false">LEFT(A231,7)</f>
        <v>2026-08</v>
      </c>
    </row>
    <row r="232" customFormat="false" ht="15" hidden="false" customHeight="false" outlineLevel="0" collapsed="false">
      <c r="A232" s="7" t="s">
        <v>375</v>
      </c>
      <c r="B232" s="7" t="s">
        <v>203</v>
      </c>
      <c r="C232" s="7" t="s">
        <v>63</v>
      </c>
      <c r="D232" s="7" t="s">
        <v>59</v>
      </c>
      <c r="E232" s="7" t="s">
        <v>67</v>
      </c>
      <c r="F232" s="28" t="n">
        <v>46241.5625</v>
      </c>
      <c r="G232" s="29" t="n">
        <v>64275.94224</v>
      </c>
      <c r="H232" s="29" t="n">
        <v>64434.1064</v>
      </c>
      <c r="I232" s="28" t="n">
        <v>46241.5833333333</v>
      </c>
      <c r="J232" s="29" t="n">
        <v>64446.99322128</v>
      </c>
      <c r="K232" s="7" t="s">
        <v>70</v>
      </c>
      <c r="L232" s="30" t="n">
        <v>0.007</v>
      </c>
      <c r="M232" s="12" t="n">
        <f aca="false">L232*G232*Settings!$B$5</f>
        <v>39593.98041984</v>
      </c>
      <c r="N232" s="31" t="n">
        <f aca="false">(I232-F232)*24</f>
        <v>0.5</v>
      </c>
      <c r="O232" s="12" t="n">
        <v>-105.367404468481</v>
      </c>
      <c r="P232" s="12" t="n">
        <v>-152.335763741516</v>
      </c>
      <c r="Q232" s="12" t="n">
        <f aca="false">2*Calculator!$C$5*M232</f>
        <v>46.7208968954112</v>
      </c>
      <c r="R232" s="12" t="n">
        <f aca="false">O232-P232-Q232</f>
        <v>0.247462377623989</v>
      </c>
      <c r="S232" s="12" t="n">
        <f aca="false">O232+2*Calculator!$C$6*M232</f>
        <v>-89.5298123005446</v>
      </c>
      <c r="T232" s="12" t="n">
        <f aca="false">S232-2*Calculator!$B$6*M232</f>
        <v>-105.367404468481</v>
      </c>
      <c r="U232" s="12" t="n">
        <f aca="false">2*Calculator!$B$5*M232</f>
        <v>46.7208968954112</v>
      </c>
      <c r="V232" s="12" t="n">
        <f aca="false">R232*Calculator!$B$7/Calculator!$C$7</f>
        <v>0.247462377623989</v>
      </c>
      <c r="W232" s="14" t="n">
        <f aca="false">T232-U232-V232</f>
        <v>-152.335763741516</v>
      </c>
      <c r="X232" s="7" t="str">
        <f aca="false">LEFT(A232,7)</f>
        <v>2026-08</v>
      </c>
    </row>
    <row r="233" customFormat="false" ht="15" hidden="false" customHeight="false" outlineLevel="0" collapsed="false">
      <c r="A233" s="7" t="s">
        <v>376</v>
      </c>
      <c r="B233" s="7" t="s">
        <v>205</v>
      </c>
      <c r="C233" s="7" t="s">
        <v>63</v>
      </c>
      <c r="D233" s="7" t="s">
        <v>60</v>
      </c>
      <c r="E233" s="7" t="s">
        <v>66</v>
      </c>
      <c r="F233" s="28" t="n">
        <v>46242.5625</v>
      </c>
      <c r="G233" s="29" t="n">
        <v>64949.28726</v>
      </c>
      <c r="H233" s="29" t="n">
        <v>64627.36225</v>
      </c>
      <c r="I233" s="28" t="n">
        <v>46242.78125</v>
      </c>
      <c r="J233" s="29" t="n">
        <v>64965.70426</v>
      </c>
      <c r="K233" s="7" t="s">
        <v>71</v>
      </c>
      <c r="L233" s="30" t="n">
        <v>0.003</v>
      </c>
      <c r="M233" s="12" t="n">
        <f aca="false">L233*G233*Settings!$B$5</f>
        <v>17146.61183664</v>
      </c>
      <c r="N233" s="31" t="n">
        <f aca="false">(I233-F233)*24</f>
        <v>5.25</v>
      </c>
      <c r="O233" s="12" t="n">
        <v>4.33408799999842</v>
      </c>
      <c r="P233" s="12" t="n">
        <v>-17.0241603690163</v>
      </c>
      <c r="Q233" s="12" t="n">
        <f aca="false">2*Calculator!$C$5*M233</f>
        <v>20.2330019672352</v>
      </c>
      <c r="R233" s="12" t="n">
        <f aca="false">O233-P233-Q233</f>
        <v>1.1252464017795</v>
      </c>
      <c r="S233" s="12" t="n">
        <f aca="false">O233+2*Calculator!$C$6*M233</f>
        <v>11.1927327346544</v>
      </c>
      <c r="T233" s="12" t="n">
        <f aca="false">S233-2*Calculator!$B$6*M233</f>
        <v>4.33408799999842</v>
      </c>
      <c r="U233" s="12" t="n">
        <f aca="false">2*Calculator!$B$5*M233</f>
        <v>20.2330019672352</v>
      </c>
      <c r="V233" s="12" t="n">
        <f aca="false">R233*Calculator!$B$7/Calculator!$C$7</f>
        <v>1.1252464017795</v>
      </c>
      <c r="W233" s="14" t="n">
        <f aca="false">T233-U233-V233</f>
        <v>-17.0241603690163</v>
      </c>
      <c r="X233" s="7" t="str">
        <f aca="false">LEFT(A233,7)</f>
        <v>2026-08</v>
      </c>
    </row>
    <row r="234" customFormat="false" ht="15" hidden="false" customHeight="false" outlineLevel="0" collapsed="false">
      <c r="A234" s="7" t="s">
        <v>377</v>
      </c>
      <c r="B234" s="7" t="s">
        <v>213</v>
      </c>
      <c r="C234" s="7" t="s">
        <v>63</v>
      </c>
      <c r="D234" s="7" t="s">
        <v>59</v>
      </c>
      <c r="E234" s="7" t="s">
        <v>67</v>
      </c>
      <c r="F234" s="28" t="n">
        <v>46244.5625</v>
      </c>
      <c r="G234" s="29" t="n">
        <v>65169.9634</v>
      </c>
      <c r="H234" s="29" t="n">
        <v>65377.92</v>
      </c>
      <c r="I234" s="28" t="n">
        <v>46244.6458333333</v>
      </c>
      <c r="J234" s="29" t="n">
        <v>64992.98514783</v>
      </c>
      <c r="K234" s="7" t="s">
        <v>69</v>
      </c>
      <c r="L234" s="30" t="n">
        <v>0.005</v>
      </c>
      <c r="M234" s="12" t="n">
        <f aca="false">L234*G234*Settings!$B$5</f>
        <v>28674.783896</v>
      </c>
      <c r="N234" s="31" t="n">
        <f aca="false">(I234-F234)*24</f>
        <v>2</v>
      </c>
      <c r="O234" s="12" t="n">
        <v>62.7321166973611</v>
      </c>
      <c r="P234" s="12" t="n">
        <v>28.2506890624211</v>
      </c>
      <c r="Q234" s="12" t="n">
        <f aca="false">2*Calculator!$C$5*M234</f>
        <v>33.83624499728</v>
      </c>
      <c r="R234" s="12" t="n">
        <f aca="false">O234-P234-Q234</f>
        <v>0.64518263766</v>
      </c>
      <c r="S234" s="12" t="n">
        <f aca="false">O234+2*Calculator!$C$6*M234</f>
        <v>74.202030255761</v>
      </c>
      <c r="T234" s="12" t="n">
        <f aca="false">S234-2*Calculator!$B$6*M234</f>
        <v>62.732116697361</v>
      </c>
      <c r="U234" s="12" t="n">
        <f aca="false">2*Calculator!$B$5*M234</f>
        <v>33.83624499728</v>
      </c>
      <c r="V234" s="12" t="n">
        <f aca="false">R234*Calculator!$B$7/Calculator!$C$7</f>
        <v>0.64518263766</v>
      </c>
      <c r="W234" s="14" t="n">
        <f aca="false">T234-U234-V234</f>
        <v>28.250689062421</v>
      </c>
      <c r="X234" s="7" t="str">
        <f aca="false">LEFT(A234,7)</f>
        <v>2026-08</v>
      </c>
    </row>
    <row r="235" customFormat="false" ht="15" hidden="false" customHeight="false" outlineLevel="0" collapsed="false">
      <c r="A235" s="7" t="s">
        <v>378</v>
      </c>
      <c r="B235" s="7" t="s">
        <v>209</v>
      </c>
      <c r="C235" s="7" t="s">
        <v>63</v>
      </c>
      <c r="D235" s="7" t="s">
        <v>60</v>
      </c>
      <c r="E235" s="7" t="s">
        <v>67</v>
      </c>
      <c r="F235" s="28" t="n">
        <v>46245.5625</v>
      </c>
      <c r="G235" s="29" t="n">
        <v>64018.89366</v>
      </c>
      <c r="H235" s="29" t="n">
        <v>64348.27</v>
      </c>
      <c r="I235" s="28" t="n">
        <v>46245.6875</v>
      </c>
      <c r="J235" s="29" t="n">
        <v>64361.139654</v>
      </c>
      <c r="K235" s="7" t="s">
        <v>70</v>
      </c>
      <c r="L235" s="30" t="n">
        <v>0.003</v>
      </c>
      <c r="M235" s="12" t="n">
        <f aca="false">L235*G235*Settings!$B$5</f>
        <v>16900.98792624</v>
      </c>
      <c r="N235" s="31" t="n">
        <f aca="false">(I235-F235)*24</f>
        <v>3</v>
      </c>
      <c r="O235" s="12" t="n">
        <v>-90.3529424159992</v>
      </c>
      <c r="P235" s="12" t="n">
        <v>-110.929895216196</v>
      </c>
      <c r="Q235" s="12" t="n">
        <f aca="false">2*Calculator!$C$5*M235</f>
        <v>19.9431657529632</v>
      </c>
      <c r="R235" s="12" t="n">
        <f aca="false">O235-P235-Q235</f>
        <v>0.633787047233962</v>
      </c>
      <c r="S235" s="12" t="n">
        <f aca="false">O235+2*Calculator!$C$6*M235</f>
        <v>-83.5925472455032</v>
      </c>
      <c r="T235" s="12" t="n">
        <f aca="false">S235-2*Calculator!$B$6*M235</f>
        <v>-90.3529424159992</v>
      </c>
      <c r="U235" s="12" t="n">
        <f aca="false">2*Calculator!$B$5*M235</f>
        <v>19.9431657529632</v>
      </c>
      <c r="V235" s="12" t="n">
        <f aca="false">R235*Calculator!$B$7/Calculator!$C$7</f>
        <v>0.633787047233962</v>
      </c>
      <c r="W235" s="14" t="n">
        <f aca="false">T235-U235-V235</f>
        <v>-110.929895216196</v>
      </c>
      <c r="X235" s="7" t="str">
        <f aca="false">LEFT(A235,7)</f>
        <v>2026-08</v>
      </c>
    </row>
    <row r="236" customFormat="false" ht="15" hidden="false" customHeight="false" outlineLevel="0" collapsed="false">
      <c r="A236" s="7" t="s">
        <v>378</v>
      </c>
      <c r="B236" s="7" t="s">
        <v>209</v>
      </c>
      <c r="C236" s="7" t="s">
        <v>64</v>
      </c>
      <c r="D236" s="7" t="s">
        <v>60</v>
      </c>
      <c r="E236" s="7" t="s">
        <v>66</v>
      </c>
      <c r="F236" s="28" t="n">
        <v>46245.8125</v>
      </c>
      <c r="G236" s="29" t="n">
        <v>64187.23488</v>
      </c>
      <c r="H236" s="29" t="n">
        <v>63735.59335</v>
      </c>
      <c r="I236" s="28" t="n">
        <v>46245.84375</v>
      </c>
      <c r="J236" s="29" t="n">
        <v>63722.84623133</v>
      </c>
      <c r="K236" s="7" t="s">
        <v>70</v>
      </c>
      <c r="L236" s="30" t="n">
        <v>0.002</v>
      </c>
      <c r="M236" s="12" t="n">
        <f aca="false">L236*G236*Settings!$B$5</f>
        <v>11296.95333888</v>
      </c>
      <c r="N236" s="31" t="n">
        <f aca="false">(I236-F236)*24</f>
        <v>0.75</v>
      </c>
      <c r="O236" s="12" t="n">
        <v>-81.7324021659199</v>
      </c>
      <c r="P236" s="12" t="n">
        <v>-95.1687160433503</v>
      </c>
      <c r="Q236" s="12" t="n">
        <f aca="false">2*Calculator!$C$5*M236</f>
        <v>13.3304049398784</v>
      </c>
      <c r="R236" s="12" t="n">
        <f aca="false">O236-P236-Q236</f>
        <v>0.105908937552005</v>
      </c>
      <c r="S236" s="12" t="n">
        <f aca="false">O236+2*Calculator!$C$6*M236</f>
        <v>-77.2136208303679</v>
      </c>
      <c r="T236" s="12" t="n">
        <f aca="false">S236-2*Calculator!$B$6*M236</f>
        <v>-81.7324021659199</v>
      </c>
      <c r="U236" s="12" t="n">
        <f aca="false">2*Calculator!$B$5*M236</f>
        <v>13.3304049398784</v>
      </c>
      <c r="V236" s="12" t="n">
        <f aca="false">R236*Calculator!$B$7/Calculator!$C$7</f>
        <v>0.105908937552005</v>
      </c>
      <c r="W236" s="14" t="n">
        <f aca="false">T236-U236-V236</f>
        <v>-95.1687160433503</v>
      </c>
      <c r="X236" s="7" t="str">
        <f aca="false">LEFT(A236,7)</f>
        <v>2026-08</v>
      </c>
    </row>
    <row r="237" customFormat="false" ht="15" hidden="false" customHeight="false" outlineLevel="0" collapsed="false">
      <c r="A237" s="7" t="s">
        <v>379</v>
      </c>
      <c r="B237" s="7" t="s">
        <v>201</v>
      </c>
      <c r="C237" s="7" t="s">
        <v>63</v>
      </c>
      <c r="D237" s="7" t="s">
        <v>59</v>
      </c>
      <c r="E237" s="7" t="s">
        <v>67</v>
      </c>
      <c r="F237" s="28" t="n">
        <v>46247.5625</v>
      </c>
      <c r="G237" s="29" t="n">
        <v>63820.2334</v>
      </c>
      <c r="H237" s="29" t="n">
        <v>63937.06195</v>
      </c>
      <c r="I237" s="28" t="n">
        <v>46247.59375</v>
      </c>
      <c r="J237" s="29" t="n">
        <v>63752.5550989275</v>
      </c>
      <c r="K237" s="7" t="s">
        <v>69</v>
      </c>
      <c r="L237" s="30" t="n">
        <v>0.008</v>
      </c>
      <c r="M237" s="12" t="n">
        <f aca="false">L237*G237*Settings!$B$5</f>
        <v>44929.4443136</v>
      </c>
      <c r="N237" s="31" t="n">
        <f aca="false">(I237-F237)*24</f>
        <v>0.75</v>
      </c>
      <c r="O237" s="12" t="n">
        <v>39.8957547111206</v>
      </c>
      <c r="P237" s="12" t="n">
        <v>-13.4017986058874</v>
      </c>
      <c r="Q237" s="12" t="n">
        <f aca="false">2*Calculator!$C$5*M237</f>
        <v>53.016744290048</v>
      </c>
      <c r="R237" s="12" t="n">
        <f aca="false">O237-P237-Q237</f>
        <v>0.280809026959993</v>
      </c>
      <c r="S237" s="12" t="n">
        <f aca="false">O237+2*Calculator!$C$6*M237</f>
        <v>57.8675324365606</v>
      </c>
      <c r="T237" s="12" t="n">
        <f aca="false">S237-2*Calculator!$B$6*M237</f>
        <v>39.8957547111206</v>
      </c>
      <c r="U237" s="12" t="n">
        <f aca="false">2*Calculator!$B$5*M237</f>
        <v>53.016744290048</v>
      </c>
      <c r="V237" s="12" t="n">
        <f aca="false">R237*Calculator!$B$7/Calculator!$C$7</f>
        <v>0.280809026959993</v>
      </c>
      <c r="W237" s="14" t="n">
        <f aca="false">T237-U237-V237</f>
        <v>-13.4017986058874</v>
      </c>
      <c r="X237" s="7" t="str">
        <f aca="false">LEFT(A237,7)</f>
        <v>2026-08</v>
      </c>
    </row>
    <row r="238" customFormat="false" ht="15" hidden="false" customHeight="false" outlineLevel="0" collapsed="false">
      <c r="A238" s="7" t="s">
        <v>379</v>
      </c>
      <c r="B238" s="7" t="s">
        <v>201</v>
      </c>
      <c r="C238" s="7" t="s">
        <v>64</v>
      </c>
      <c r="D238" s="7" t="s">
        <v>60</v>
      </c>
      <c r="E238" s="7" t="s">
        <v>67</v>
      </c>
      <c r="F238" s="28" t="n">
        <v>46247.8333333333</v>
      </c>
      <c r="G238" s="29" t="n">
        <v>63771.2432</v>
      </c>
      <c r="H238" s="29" t="n">
        <v>64115.226</v>
      </c>
      <c r="I238" s="28" t="n">
        <v>46247.875</v>
      </c>
      <c r="J238" s="29" t="n">
        <v>63660.82531914</v>
      </c>
      <c r="K238" s="7" t="s">
        <v>69</v>
      </c>
      <c r="L238" s="30" t="n">
        <v>0.003</v>
      </c>
      <c r="M238" s="12" t="n">
        <f aca="false">L238*G238*Settings!$B$5</f>
        <v>16835.6082048</v>
      </c>
      <c r="N238" s="31" t="n">
        <f aca="false">(I238-F238)*24</f>
        <v>1</v>
      </c>
      <c r="O238" s="12" t="n">
        <v>33.44944339968</v>
      </c>
      <c r="P238" s="12" t="n">
        <v>13.390517707336</v>
      </c>
      <c r="Q238" s="12" t="n">
        <f aca="false">2*Calculator!$C$5*M238</f>
        <v>19.866017681664</v>
      </c>
      <c r="R238" s="12" t="n">
        <f aca="false">O238-P238-Q238</f>
        <v>0.192908010680011</v>
      </c>
      <c r="S238" s="12" t="n">
        <f aca="false">O238+2*Calculator!$C$6*M238</f>
        <v>40.1836866816</v>
      </c>
      <c r="T238" s="12" t="n">
        <f aca="false">S238-2*Calculator!$B$6*M238</f>
        <v>33.44944339968</v>
      </c>
      <c r="U238" s="12" t="n">
        <f aca="false">2*Calculator!$B$5*M238</f>
        <v>19.866017681664</v>
      </c>
      <c r="V238" s="12" t="n">
        <f aca="false">R238*Calculator!$B$7/Calculator!$C$7</f>
        <v>0.192908010680011</v>
      </c>
      <c r="W238" s="14" t="n">
        <f aca="false">T238-U238-V238</f>
        <v>13.390517707336</v>
      </c>
      <c r="X238" s="7" t="str">
        <f aca="false">LEFT(A238,7)</f>
        <v>2026-08</v>
      </c>
    </row>
    <row r="239" customFormat="false" ht="15" hidden="false" customHeight="false" outlineLevel="0" collapsed="false">
      <c r="A239" s="7" t="s">
        <v>380</v>
      </c>
      <c r="B239" s="7" t="s">
        <v>203</v>
      </c>
      <c r="C239" s="7" t="s">
        <v>64</v>
      </c>
      <c r="D239" s="7" t="s">
        <v>60</v>
      </c>
      <c r="E239" s="7" t="s">
        <v>66</v>
      </c>
      <c r="F239" s="28" t="n">
        <v>46248.8333333333</v>
      </c>
      <c r="G239" s="29" t="n">
        <v>62661.12972</v>
      </c>
      <c r="H239" s="29" t="n">
        <v>62296.5981</v>
      </c>
      <c r="I239" s="28" t="n">
        <v>46248.8854166667</v>
      </c>
      <c r="J239" s="29" t="n">
        <v>62957.972981581</v>
      </c>
      <c r="K239" s="7" t="s">
        <v>69</v>
      </c>
      <c r="L239" s="30" t="n">
        <v>0.003</v>
      </c>
      <c r="M239" s="12" t="n">
        <f aca="false">L239*G239*Settings!$B$5</f>
        <v>16542.53824608</v>
      </c>
      <c r="N239" s="31" t="n">
        <f aca="false">(I239-F239)*24</f>
        <v>1.24999999953417</v>
      </c>
      <c r="O239" s="12" t="n">
        <v>67.1777615569281</v>
      </c>
      <c r="P239" s="12" t="n">
        <v>47.4163210771317</v>
      </c>
      <c r="Q239" s="12" t="n">
        <f aca="false">2*Calculator!$C$5*M239</f>
        <v>19.5201951303744</v>
      </c>
      <c r="R239" s="12" t="n">
        <f aca="false">O239-P239-Q239</f>
        <v>0.241245349421998</v>
      </c>
      <c r="S239" s="12" t="n">
        <f aca="false">O239+2*Calculator!$C$6*M239</f>
        <v>73.79477685536</v>
      </c>
      <c r="T239" s="12" t="n">
        <f aca="false">S239-2*Calculator!$B$6*M239</f>
        <v>67.1777615569281</v>
      </c>
      <c r="U239" s="12" t="n">
        <f aca="false">2*Calculator!$B$5*M239</f>
        <v>19.5201951303744</v>
      </c>
      <c r="V239" s="12" t="n">
        <f aca="false">R239*Calculator!$B$7/Calculator!$C$7</f>
        <v>0.241245349421998</v>
      </c>
      <c r="W239" s="14" t="n">
        <f aca="false">T239-U239-V239</f>
        <v>47.4163210771316</v>
      </c>
      <c r="X239" s="7" t="str">
        <f aca="false">LEFT(A239,7)</f>
        <v>2026-08</v>
      </c>
    </row>
    <row r="240" customFormat="false" ht="15" hidden="false" customHeight="false" outlineLevel="0" collapsed="false">
      <c r="A240" s="7" t="s">
        <v>381</v>
      </c>
      <c r="B240" s="7" t="s">
        <v>205</v>
      </c>
      <c r="C240" s="7" t="s">
        <v>63</v>
      </c>
      <c r="D240" s="7" t="s">
        <v>60</v>
      </c>
      <c r="E240" s="7" t="s">
        <v>67</v>
      </c>
      <c r="F240" s="28" t="n">
        <v>46249.5625</v>
      </c>
      <c r="G240" s="29" t="n">
        <v>63037.29002</v>
      </c>
      <c r="H240" s="29" t="n">
        <v>63357.4312</v>
      </c>
      <c r="I240" s="28" t="n">
        <v>46249.78125</v>
      </c>
      <c r="J240" s="29" t="n">
        <v>63056.80884</v>
      </c>
      <c r="K240" s="7" t="s">
        <v>71</v>
      </c>
      <c r="L240" s="30" t="n">
        <v>0.003</v>
      </c>
      <c r="M240" s="12" t="n">
        <f aca="false">L240*G240*Settings!$B$5</f>
        <v>16641.84456528</v>
      </c>
      <c r="N240" s="31" t="n">
        <f aca="false">(I240-F240)*24</f>
        <v>5.25</v>
      </c>
      <c r="O240" s="12" t="n">
        <v>-5.15296847999934</v>
      </c>
      <c r="P240" s="12" t="n">
        <v>-25.8824661166262</v>
      </c>
      <c r="Q240" s="12" t="n">
        <f aca="false">2*Calculator!$C$5*M240</f>
        <v>19.6373765870304</v>
      </c>
      <c r="R240" s="12" t="n">
        <f aca="false">O240-P240-Q240</f>
        <v>1.0921210495965</v>
      </c>
      <c r="S240" s="12" t="n">
        <f aca="false">O240+2*Calculator!$C$6*M240</f>
        <v>1.50376934611266</v>
      </c>
      <c r="T240" s="12" t="n">
        <f aca="false">S240-2*Calculator!$B$6*M240</f>
        <v>-5.15296847999934</v>
      </c>
      <c r="U240" s="12" t="n">
        <f aca="false">2*Calculator!$B$5*M240</f>
        <v>19.6373765870304</v>
      </c>
      <c r="V240" s="12" t="n">
        <f aca="false">R240*Calculator!$B$7/Calculator!$C$7</f>
        <v>1.0921210495965</v>
      </c>
      <c r="W240" s="14" t="n">
        <f aca="false">T240-U240-V240</f>
        <v>-25.8824661166262</v>
      </c>
      <c r="X240" s="7" t="str">
        <f aca="false">LEFT(A240,7)</f>
        <v>2026-08</v>
      </c>
    </row>
    <row r="241" customFormat="false" ht="15" hidden="false" customHeight="false" outlineLevel="0" collapsed="false">
      <c r="A241" s="7" t="s">
        <v>382</v>
      </c>
      <c r="B241" s="7" t="s">
        <v>207</v>
      </c>
      <c r="C241" s="7" t="s">
        <v>63</v>
      </c>
      <c r="D241" s="7" t="s">
        <v>60</v>
      </c>
      <c r="E241" s="7" t="s">
        <v>66</v>
      </c>
      <c r="F241" s="28" t="n">
        <v>46250.5625</v>
      </c>
      <c r="G241" s="29" t="n">
        <v>63047.00688</v>
      </c>
      <c r="H241" s="29" t="n">
        <v>62744.374</v>
      </c>
      <c r="I241" s="28" t="n">
        <v>46250.78125</v>
      </c>
      <c r="J241" s="29" t="n">
        <v>63022.29302</v>
      </c>
      <c r="K241" s="7" t="s">
        <v>71</v>
      </c>
      <c r="L241" s="30" t="n">
        <v>0.003</v>
      </c>
      <c r="M241" s="12" t="n">
        <f aca="false">L241*G241*Settings!$B$5</f>
        <v>16644.40981632</v>
      </c>
      <c r="N241" s="31" t="n">
        <f aca="false">(I241-F241)*24</f>
        <v>5.25</v>
      </c>
      <c r="O241" s="12" t="n">
        <v>-6.524459039999</v>
      </c>
      <c r="P241" s="12" t="n">
        <v>-27.2571520174526</v>
      </c>
      <c r="Q241" s="12" t="n">
        <f aca="false">2*Calculator!$C$5*M241</f>
        <v>19.6404035832576</v>
      </c>
      <c r="R241" s="12" t="n">
        <f aca="false">O241-P241-Q241</f>
        <v>1.092289394196</v>
      </c>
      <c r="S241" s="12" t="n">
        <f aca="false">O241+2*Calculator!$C$6*M241</f>
        <v>0.133304886529003</v>
      </c>
      <c r="T241" s="12" t="n">
        <f aca="false">S241-2*Calculator!$B$6*M241</f>
        <v>-6.524459039999</v>
      </c>
      <c r="U241" s="12" t="n">
        <f aca="false">2*Calculator!$B$5*M241</f>
        <v>19.6404035832576</v>
      </c>
      <c r="V241" s="12" t="n">
        <f aca="false">R241*Calculator!$B$7/Calculator!$C$7</f>
        <v>1.092289394196</v>
      </c>
      <c r="W241" s="14" t="n">
        <f aca="false">T241-U241-V241</f>
        <v>-27.2571520174526</v>
      </c>
      <c r="X241" s="7" t="str">
        <f aca="false">LEFT(A241,7)</f>
        <v>2026-08</v>
      </c>
    </row>
    <row r="242" customFormat="false" ht="15" hidden="false" customHeight="false" outlineLevel="0" collapsed="false">
      <c r="A242" s="7" t="s">
        <v>382</v>
      </c>
      <c r="B242" s="7" t="s">
        <v>207</v>
      </c>
      <c r="C242" s="7" t="s">
        <v>64</v>
      </c>
      <c r="D242" s="7" t="s">
        <v>61</v>
      </c>
      <c r="E242" s="7" t="s">
        <v>67</v>
      </c>
      <c r="F242" s="28" t="n">
        <v>46250.84375</v>
      </c>
      <c r="G242" s="29" t="n">
        <v>63059.3856</v>
      </c>
      <c r="H242" s="29" t="n">
        <v>63130.45385</v>
      </c>
      <c r="I242" s="28" t="n">
        <v>46250.8958333333</v>
      </c>
      <c r="J242" s="29" t="n">
        <v>63143.07994077</v>
      </c>
      <c r="K242" s="7" t="s">
        <v>70</v>
      </c>
      <c r="L242" s="30" t="n">
        <v>0.009</v>
      </c>
      <c r="M242" s="12" t="n">
        <f aca="false">L242*G242*Settings!$B$5</f>
        <v>49943.0333952</v>
      </c>
      <c r="N242" s="31" t="n">
        <f aca="false">(I242-F242)*24</f>
        <v>1.25</v>
      </c>
      <c r="O242" s="12" t="n">
        <v>-66.2859178898415</v>
      </c>
      <c r="P242" s="12" t="n">
        <v>-125.999057192978</v>
      </c>
      <c r="Q242" s="12" t="n">
        <f aca="false">2*Calculator!$C$5*M242</f>
        <v>58.932779406336</v>
      </c>
      <c r="R242" s="12" t="n">
        <f aca="false">O242-P242-Q242</f>
        <v>0.780359896800036</v>
      </c>
      <c r="S242" s="12" t="n">
        <f aca="false">O242+2*Calculator!$C$6*M242</f>
        <v>-46.3087045317615</v>
      </c>
      <c r="T242" s="12" t="n">
        <f aca="false">S242-2*Calculator!$B$6*M242</f>
        <v>-66.2859178898415</v>
      </c>
      <c r="U242" s="12" t="n">
        <f aca="false">2*Calculator!$B$5*M242</f>
        <v>58.932779406336</v>
      </c>
      <c r="V242" s="12" t="n">
        <f aca="false">R242*Calculator!$B$7/Calculator!$C$7</f>
        <v>0.780359896800036</v>
      </c>
      <c r="W242" s="14" t="n">
        <f aca="false">T242-U242-V242</f>
        <v>-125.999057192978</v>
      </c>
      <c r="X242" s="7" t="str">
        <f aca="false">LEFT(A242,7)</f>
        <v>2026-08</v>
      </c>
    </row>
    <row r="243" customFormat="false" ht="15" hidden="false" customHeight="false" outlineLevel="0" collapsed="false">
      <c r="A243" s="7" t="s">
        <v>383</v>
      </c>
      <c r="B243" s="7" t="s">
        <v>209</v>
      </c>
      <c r="C243" s="7" t="s">
        <v>63</v>
      </c>
      <c r="D243" s="7" t="s">
        <v>59</v>
      </c>
      <c r="E243" s="7" t="s">
        <v>67</v>
      </c>
      <c r="F243" s="28" t="n">
        <v>46252.5625</v>
      </c>
      <c r="G243" s="29" t="n">
        <v>64157.96584</v>
      </c>
      <c r="H243" s="29" t="n">
        <v>64306.315</v>
      </c>
      <c r="I243" s="28" t="n">
        <v>46252.5625</v>
      </c>
      <c r="J243" s="29" t="n">
        <v>64106.305987458</v>
      </c>
      <c r="K243" s="7" t="s">
        <v>69</v>
      </c>
      <c r="L243" s="30" t="n">
        <v>0.007</v>
      </c>
      <c r="M243" s="12" t="n">
        <f aca="false">L243*G243*Settings!$B$5</f>
        <v>39521.30695744</v>
      </c>
      <c r="N243" s="31" t="n">
        <f aca="false">(I243-F243)*24</f>
        <v>0</v>
      </c>
      <c r="O243" s="12" t="n">
        <v>34.3827330362559</v>
      </c>
      <c r="P243" s="12" t="n">
        <v>-12.2524091735233</v>
      </c>
      <c r="Q243" s="12" t="n">
        <f aca="false">2*Calculator!$C$5*M243</f>
        <v>46.6351422097792</v>
      </c>
      <c r="R243" s="12" t="n">
        <f aca="false">O243-P243-Q243</f>
        <v>0</v>
      </c>
      <c r="S243" s="12" t="n">
        <f aca="false">O243+2*Calculator!$C$6*M243</f>
        <v>50.1912558192319</v>
      </c>
      <c r="T243" s="12" t="n">
        <f aca="false">S243-2*Calculator!$B$6*M243</f>
        <v>34.3827330362559</v>
      </c>
      <c r="U243" s="12" t="n">
        <f aca="false">2*Calculator!$B$5*M243</f>
        <v>46.6351422097792</v>
      </c>
      <c r="V243" s="12" t="n">
        <f aca="false">R243*Calculator!$B$7/Calculator!$C$7</f>
        <v>0</v>
      </c>
      <c r="W243" s="14" t="n">
        <f aca="false">T243-U243-V243</f>
        <v>-12.2524091735233</v>
      </c>
      <c r="X243" s="7" t="str">
        <f aca="false">LEFT(A243,7)</f>
        <v>2026-08</v>
      </c>
    </row>
    <row r="244" customFormat="false" ht="15" hidden="false" customHeight="false" outlineLevel="0" collapsed="false">
      <c r="A244" s="7" t="s">
        <v>384</v>
      </c>
      <c r="B244" s="7" t="s">
        <v>201</v>
      </c>
      <c r="C244" s="7" t="s">
        <v>63</v>
      </c>
      <c r="D244" s="7" t="s">
        <v>59</v>
      </c>
      <c r="E244" s="7" t="s">
        <v>66</v>
      </c>
      <c r="F244" s="28" t="n">
        <v>46254.5625</v>
      </c>
      <c r="G244" s="29" t="n">
        <v>69829.86318</v>
      </c>
      <c r="H244" s="29" t="n">
        <v>69555.60985</v>
      </c>
      <c r="I244" s="28" t="n">
        <v>46254.5625</v>
      </c>
      <c r="J244" s="29" t="n">
        <v>71294.1749801665</v>
      </c>
      <c r="K244" s="7" t="s">
        <v>69</v>
      </c>
      <c r="L244" s="30" t="n">
        <v>0.004</v>
      </c>
      <c r="M244" s="12" t="n">
        <f aca="false">L244*G244*Settings!$B$5</f>
        <v>24580.11183936</v>
      </c>
      <c r="N244" s="31" t="n">
        <f aca="false">(I244-F244)*24</f>
        <v>0</v>
      </c>
      <c r="O244" s="12" t="n">
        <v>279.390331826764</v>
      </c>
      <c r="P244" s="12" t="n">
        <v>250.385799856319</v>
      </c>
      <c r="Q244" s="12" t="n">
        <f aca="false">2*Calculator!$C$5*M244</f>
        <v>29.0045319704448</v>
      </c>
      <c r="R244" s="12" t="n">
        <f aca="false">O244-P244-Q244</f>
        <v>0</v>
      </c>
      <c r="S244" s="12" t="n">
        <f aca="false">O244+2*Calculator!$C$6*M244</f>
        <v>289.222376562508</v>
      </c>
      <c r="T244" s="12" t="n">
        <f aca="false">S244-2*Calculator!$B$6*M244</f>
        <v>279.390331826764</v>
      </c>
      <c r="U244" s="12" t="n">
        <f aca="false">2*Calculator!$B$5*M244</f>
        <v>29.0045319704448</v>
      </c>
      <c r="V244" s="12" t="n">
        <f aca="false">R244*Calculator!$B$7/Calculator!$C$7</f>
        <v>0</v>
      </c>
      <c r="W244" s="14" t="n">
        <f aca="false">T244-U244-V244</f>
        <v>250.385799856319</v>
      </c>
      <c r="X244" s="7" t="str">
        <f aca="false">LEFT(A244,7)</f>
        <v>2026-08</v>
      </c>
    </row>
    <row r="245" customFormat="false" ht="15" hidden="false" customHeight="false" outlineLevel="0" collapsed="false">
      <c r="A245" s="7" t="s">
        <v>385</v>
      </c>
      <c r="B245" s="7" t="s">
        <v>203</v>
      </c>
      <c r="C245" s="7" t="s">
        <v>64</v>
      </c>
      <c r="D245" s="7" t="s">
        <v>60</v>
      </c>
      <c r="E245" s="7" t="s">
        <v>67</v>
      </c>
      <c r="F245" s="28" t="n">
        <v>46255.8125</v>
      </c>
      <c r="G245" s="29" t="n">
        <v>77228.95112</v>
      </c>
      <c r="H245" s="29" t="n">
        <v>77680.9985</v>
      </c>
      <c r="I245" s="28" t="n">
        <v>46255.8229166667</v>
      </c>
      <c r="J245" s="29" t="n">
        <v>76808.270427369</v>
      </c>
      <c r="K245" s="7" t="s">
        <v>69</v>
      </c>
      <c r="L245" s="30" t="n">
        <v>0.002</v>
      </c>
      <c r="M245" s="12" t="n">
        <f aca="false">L245*G245*Settings!$B$5</f>
        <v>13592.29539712</v>
      </c>
      <c r="N245" s="31" t="n">
        <f aca="false">(I245-F245)*24</f>
        <v>0.25</v>
      </c>
      <c r="O245" s="12" t="n">
        <v>55.5547341487609</v>
      </c>
      <c r="P245" s="12" t="n">
        <v>39.4945876186013</v>
      </c>
      <c r="Q245" s="12" t="n">
        <f aca="false">2*Calculator!$C$5*M245</f>
        <v>16.0389085686016</v>
      </c>
      <c r="R245" s="12" t="n">
        <f aca="false">O245-P245-Q245</f>
        <v>0.0212379615579827</v>
      </c>
      <c r="S245" s="12" t="n">
        <f aca="false">O245+2*Calculator!$C$6*M245</f>
        <v>60.9916523076089</v>
      </c>
      <c r="T245" s="12" t="n">
        <f aca="false">S245-2*Calculator!$B$6*M245</f>
        <v>55.5547341487609</v>
      </c>
      <c r="U245" s="12" t="n">
        <f aca="false">2*Calculator!$B$5*M245</f>
        <v>16.0389085686016</v>
      </c>
      <c r="V245" s="12" t="n">
        <f aca="false">R245*Calculator!$B$7/Calculator!$C$7</f>
        <v>0.0212379615579827</v>
      </c>
      <c r="W245" s="14" t="n">
        <f aca="false">T245-U245-V245</f>
        <v>39.4945876186013</v>
      </c>
      <c r="X245" s="7" t="str">
        <f aca="false">LEFT(A245,7)</f>
        <v>2026-08</v>
      </c>
    </row>
    <row r="246" customFormat="false" ht="15" hidden="false" customHeight="false" outlineLevel="0" collapsed="false">
      <c r="A246" s="7" t="s">
        <v>386</v>
      </c>
      <c r="B246" s="7" t="s">
        <v>205</v>
      </c>
      <c r="C246" s="7" t="s">
        <v>63</v>
      </c>
      <c r="D246" s="7" t="s">
        <v>60</v>
      </c>
      <c r="E246" s="7" t="s">
        <v>66</v>
      </c>
      <c r="F246" s="28" t="n">
        <v>46256.5729166667</v>
      </c>
      <c r="G246" s="29" t="n">
        <v>77429.4828</v>
      </c>
      <c r="H246" s="29" t="n">
        <v>76937.8148</v>
      </c>
      <c r="I246" s="28" t="n">
        <v>46256.6354166667</v>
      </c>
      <c r="J246" s="29" t="n">
        <v>76922.42723704</v>
      </c>
      <c r="K246" s="7" t="s">
        <v>70</v>
      </c>
      <c r="L246" s="30" t="n">
        <v>0.002</v>
      </c>
      <c r="M246" s="12" t="n">
        <f aca="false">L246*G246*Settings!$B$5</f>
        <v>13627.5889728</v>
      </c>
      <c r="N246" s="31" t="n">
        <f aca="false">(I246-F246)*24</f>
        <v>1.5</v>
      </c>
      <c r="O246" s="12" t="n">
        <v>-89.2417790809572</v>
      </c>
      <c r="P246" s="12" t="n">
        <v>-105.577851362101</v>
      </c>
      <c r="Q246" s="12" t="n">
        <f aca="false">2*Calculator!$C$5*M246</f>
        <v>16.080554987904</v>
      </c>
      <c r="R246" s="12" t="n">
        <f aca="false">O246-P246-Q246</f>
        <v>0.255517293240025</v>
      </c>
      <c r="S246" s="12" t="n">
        <f aca="false">O246+2*Calculator!$C$6*M246</f>
        <v>-83.7907434918372</v>
      </c>
      <c r="T246" s="12" t="n">
        <f aca="false">S246-2*Calculator!$B$6*M246</f>
        <v>-89.2417790809572</v>
      </c>
      <c r="U246" s="12" t="n">
        <f aca="false">2*Calculator!$B$5*M246</f>
        <v>16.080554987904</v>
      </c>
      <c r="V246" s="12" t="n">
        <f aca="false">R246*Calculator!$B$7/Calculator!$C$7</f>
        <v>0.255517293240025</v>
      </c>
      <c r="W246" s="14" t="n">
        <f aca="false">T246-U246-V246</f>
        <v>-105.577851362101</v>
      </c>
      <c r="X246" s="7" t="str">
        <f aca="false">LEFT(A246,7)</f>
        <v>2026-08</v>
      </c>
    </row>
    <row r="247" customFormat="false" ht="15" hidden="false" customHeight="false" outlineLevel="0" collapsed="false">
      <c r="A247" s="7" t="s">
        <v>387</v>
      </c>
      <c r="B247" s="7" t="s">
        <v>207</v>
      </c>
      <c r="C247" s="7" t="s">
        <v>64</v>
      </c>
      <c r="D247" s="7" t="s">
        <v>60</v>
      </c>
      <c r="E247" s="7" t="s">
        <v>66</v>
      </c>
      <c r="F247" s="28" t="n">
        <v>46257.8125</v>
      </c>
      <c r="G247" s="29" t="n">
        <v>77487.19434</v>
      </c>
      <c r="H247" s="29" t="n">
        <v>76985.0015</v>
      </c>
      <c r="I247" s="28" t="n">
        <v>46257.8333333333</v>
      </c>
      <c r="J247" s="29" t="n">
        <v>76969.6044997</v>
      </c>
      <c r="K247" s="7" t="s">
        <v>70</v>
      </c>
      <c r="L247" s="30" t="n">
        <v>0.002</v>
      </c>
      <c r="M247" s="12" t="n">
        <f aca="false">L247*G247*Settings!$B$5</f>
        <v>13637.74620384</v>
      </c>
      <c r="N247" s="31" t="n">
        <f aca="false">(I247-F247)*24</f>
        <v>0.5</v>
      </c>
      <c r="O247" s="12" t="n">
        <v>-91.0958118928005</v>
      </c>
      <c r="P247" s="12" t="n">
        <v>-107.273588327106</v>
      </c>
      <c r="Q247" s="12" t="n">
        <f aca="false">2*Calculator!$C$5*M247</f>
        <v>16.0925405205312</v>
      </c>
      <c r="R247" s="12" t="n">
        <f aca="false">O247-P247-Q247</f>
        <v>0.0852359137739995</v>
      </c>
      <c r="S247" s="12" t="n">
        <f aca="false">O247+2*Calculator!$C$6*M247</f>
        <v>-85.6407134112645</v>
      </c>
      <c r="T247" s="12" t="n">
        <f aca="false">S247-2*Calculator!$B$6*M247</f>
        <v>-91.0958118928005</v>
      </c>
      <c r="U247" s="12" t="n">
        <f aca="false">2*Calculator!$B$5*M247</f>
        <v>16.0925405205312</v>
      </c>
      <c r="V247" s="12" t="n">
        <f aca="false">R247*Calculator!$B$7/Calculator!$C$7</f>
        <v>0.0852359137739995</v>
      </c>
      <c r="W247" s="14" t="n">
        <f aca="false">T247-U247-V247</f>
        <v>-107.273588327106</v>
      </c>
      <c r="X247" s="7" t="str">
        <f aca="false">LEFT(A247,7)</f>
        <v>2026-08</v>
      </c>
    </row>
    <row r="248" customFormat="false" ht="15" hidden="false" customHeight="false" outlineLevel="0" collapsed="false">
      <c r="A248" s="7" t="s">
        <v>388</v>
      </c>
      <c r="B248" s="7" t="s">
        <v>213</v>
      </c>
      <c r="C248" s="7" t="s">
        <v>64</v>
      </c>
      <c r="D248" s="7" t="s">
        <v>60</v>
      </c>
      <c r="E248" s="7" t="s">
        <v>66</v>
      </c>
      <c r="F248" s="28" t="n">
        <v>46258.8125</v>
      </c>
      <c r="G248" s="29" t="n">
        <v>78581.01306</v>
      </c>
      <c r="H248" s="29" t="n">
        <v>77784.08935</v>
      </c>
      <c r="I248" s="28" t="n">
        <v>46258.8229166667</v>
      </c>
      <c r="J248" s="29" t="n">
        <v>79012.0634986855</v>
      </c>
      <c r="K248" s="7" t="s">
        <v>69</v>
      </c>
      <c r="L248" s="30" t="n">
        <v>0.001</v>
      </c>
      <c r="M248" s="12" t="n">
        <f aca="false">L248*G248*Settings!$B$5</f>
        <v>6915.12914928</v>
      </c>
      <c r="N248" s="31" t="n">
        <f aca="false">(I248-F248)*24</f>
        <v>0.25</v>
      </c>
      <c r="O248" s="12" t="n">
        <v>37.9324386043242</v>
      </c>
      <c r="P248" s="12" t="n">
        <v>29.7509764295823</v>
      </c>
      <c r="Q248" s="12" t="n">
        <f aca="false">2*Calculator!$C$5*M248</f>
        <v>8.1598523961504</v>
      </c>
      <c r="R248" s="12" t="n">
        <f aca="false">O248-P248-Q248</f>
        <v>0.0216097785914986</v>
      </c>
      <c r="S248" s="12" t="n">
        <f aca="false">O248+2*Calculator!$C$6*M248</f>
        <v>40.6984902640362</v>
      </c>
      <c r="T248" s="12" t="n">
        <f aca="false">S248-2*Calculator!$B$6*M248</f>
        <v>37.9324386043242</v>
      </c>
      <c r="U248" s="12" t="n">
        <f aca="false">2*Calculator!$B$5*M248</f>
        <v>8.1598523961504</v>
      </c>
      <c r="V248" s="12" t="n">
        <f aca="false">R248*Calculator!$B$7/Calculator!$C$7</f>
        <v>0.0216097785914986</v>
      </c>
      <c r="W248" s="14" t="n">
        <f aca="false">T248-U248-V248</f>
        <v>29.7509764295823</v>
      </c>
      <c r="X248" s="7" t="str">
        <f aca="false">LEFT(A248,7)</f>
        <v>2026-08</v>
      </c>
    </row>
    <row r="249" customFormat="false" ht="15" hidden="false" customHeight="false" outlineLevel="0" collapsed="false">
      <c r="A249" s="7" t="s">
        <v>389</v>
      </c>
      <c r="B249" s="7" t="s">
        <v>209</v>
      </c>
      <c r="C249" s="7" t="s">
        <v>63</v>
      </c>
      <c r="D249" s="7" t="s">
        <v>59</v>
      </c>
      <c r="E249" s="7" t="s">
        <v>67</v>
      </c>
      <c r="F249" s="28" t="n">
        <v>46259.5625</v>
      </c>
      <c r="G249" s="29" t="n">
        <v>79645.66768</v>
      </c>
      <c r="H249" s="29" t="n">
        <v>80579.78865</v>
      </c>
      <c r="I249" s="28" t="n">
        <v>46259.6354166667</v>
      </c>
      <c r="J249" s="29" t="n">
        <v>79076.6424085485</v>
      </c>
      <c r="K249" s="7" t="s">
        <v>69</v>
      </c>
      <c r="L249" s="30" t="n">
        <v>0.001</v>
      </c>
      <c r="M249" s="12" t="n">
        <f aca="false">L249*G249*Settings!$B$5</f>
        <v>7008.81875584</v>
      </c>
      <c r="N249" s="31" t="n">
        <f aca="false">(I249-F249)*24</f>
        <v>1.75</v>
      </c>
      <c r="O249" s="12" t="n">
        <v>50.0742238877327</v>
      </c>
      <c r="P249" s="12" t="n">
        <v>41.6504998455575</v>
      </c>
      <c r="Q249" s="12" t="n">
        <f aca="false">2*Calculator!$C$5*M249</f>
        <v>8.2704061318912</v>
      </c>
      <c r="R249" s="12" t="n">
        <f aca="false">O249-P249-Q249</f>
        <v>0.153317910284001</v>
      </c>
      <c r="S249" s="12" t="n">
        <f aca="false">O249+2*Calculator!$C$6*M249</f>
        <v>52.8777513900687</v>
      </c>
      <c r="T249" s="12" t="n">
        <f aca="false">S249-2*Calculator!$B$6*M249</f>
        <v>50.0742238877327</v>
      </c>
      <c r="U249" s="12" t="n">
        <f aca="false">2*Calculator!$B$5*M249</f>
        <v>8.2704061318912</v>
      </c>
      <c r="V249" s="12" t="n">
        <f aca="false">R249*Calculator!$B$7/Calculator!$C$7</f>
        <v>0.153317910284001</v>
      </c>
      <c r="W249" s="14" t="n">
        <f aca="false">T249-U249-V249</f>
        <v>41.6504998455575</v>
      </c>
      <c r="X249" s="7" t="str">
        <f aca="false">LEFT(A249,7)</f>
        <v>2026-08</v>
      </c>
    </row>
    <row r="250" customFormat="false" ht="15" hidden="false" customHeight="false" outlineLevel="0" collapsed="false">
      <c r="A250" s="7" t="s">
        <v>389</v>
      </c>
      <c r="B250" s="7" t="s">
        <v>209</v>
      </c>
      <c r="C250" s="7" t="s">
        <v>64</v>
      </c>
      <c r="D250" s="7" t="s">
        <v>60</v>
      </c>
      <c r="E250" s="7" t="s">
        <v>66</v>
      </c>
      <c r="F250" s="28" t="n">
        <v>46259.8125</v>
      </c>
      <c r="G250" s="29" t="n">
        <v>78643.42554</v>
      </c>
      <c r="H250" s="29" t="n">
        <v>78216.73365</v>
      </c>
      <c r="I250" s="28" t="n">
        <v>46259.8229166667</v>
      </c>
      <c r="J250" s="29" t="n">
        <v>78908.1422420945</v>
      </c>
      <c r="K250" s="7" t="s">
        <v>69</v>
      </c>
      <c r="L250" s="30" t="n">
        <v>0.002</v>
      </c>
      <c r="M250" s="12" t="n">
        <f aca="false">L250*G250*Settings!$B$5</f>
        <v>13841.24289504</v>
      </c>
      <c r="N250" s="31" t="n">
        <f aca="false">(I250-F250)*24</f>
        <v>0.25</v>
      </c>
      <c r="O250" s="12" t="n">
        <v>40.6816337661798</v>
      </c>
      <c r="P250" s="12" t="n">
        <v>24.3273402080091</v>
      </c>
      <c r="Q250" s="12" t="n">
        <f aca="false">2*Calculator!$C$5*M250</f>
        <v>16.3326666161472</v>
      </c>
      <c r="R250" s="12" t="n">
        <f aca="false">O250-P250-Q250</f>
        <v>0.0216269420235022</v>
      </c>
      <c r="S250" s="12" t="n">
        <f aca="false">O250+2*Calculator!$C$6*M250</f>
        <v>46.2181309241958</v>
      </c>
      <c r="T250" s="12" t="n">
        <f aca="false">S250-2*Calculator!$B$6*M250</f>
        <v>40.6816337661798</v>
      </c>
      <c r="U250" s="12" t="n">
        <f aca="false">2*Calculator!$B$5*M250</f>
        <v>16.3326666161472</v>
      </c>
      <c r="V250" s="12" t="n">
        <f aca="false">R250*Calculator!$B$7/Calculator!$C$7</f>
        <v>0.0216269420235022</v>
      </c>
      <c r="W250" s="14" t="n">
        <f aca="false">T250-U250-V250</f>
        <v>24.3273402080091</v>
      </c>
      <c r="X250" s="7" t="str">
        <f aca="false">LEFT(A250,7)</f>
        <v>2026-08</v>
      </c>
    </row>
    <row r="251" customFormat="false" ht="15" hidden="false" customHeight="false" outlineLevel="0" collapsed="false">
      <c r="A251" s="7" t="s">
        <v>390</v>
      </c>
      <c r="B251" s="7" t="s">
        <v>199</v>
      </c>
      <c r="C251" s="7" t="s">
        <v>63</v>
      </c>
      <c r="D251" s="7" t="s">
        <v>60</v>
      </c>
      <c r="E251" s="7" t="s">
        <v>67</v>
      </c>
      <c r="F251" s="28" t="n">
        <v>46260.5625</v>
      </c>
      <c r="G251" s="29" t="n">
        <v>78871.32258</v>
      </c>
      <c r="H251" s="29" t="n">
        <v>79373.48055</v>
      </c>
      <c r="I251" s="28" t="n">
        <v>46260.6041666667</v>
      </c>
      <c r="J251" s="29" t="n">
        <v>78711.5786603985</v>
      </c>
      <c r="K251" s="7" t="s">
        <v>69</v>
      </c>
      <c r="L251" s="30" t="n">
        <v>0.002</v>
      </c>
      <c r="M251" s="12" t="n">
        <f aca="false">L251*G251*Settings!$B$5</f>
        <v>13881.35277408</v>
      </c>
      <c r="N251" s="31" t="n">
        <f aca="false">(I251-F251)*24</f>
        <v>1</v>
      </c>
      <c r="O251" s="12" t="n">
        <v>34.7686993176604</v>
      </c>
      <c r="P251" s="12" t="n">
        <v>18.2368757482795</v>
      </c>
      <c r="Q251" s="12" t="n">
        <f aca="false">2*Calculator!$C$5*M251</f>
        <v>16.3799962734144</v>
      </c>
      <c r="R251" s="12" t="n">
        <f aca="false">O251-P251-Q251</f>
        <v>0.151827295966502</v>
      </c>
      <c r="S251" s="12" t="n">
        <f aca="false">O251+2*Calculator!$C$6*M251</f>
        <v>40.3212404272924</v>
      </c>
      <c r="T251" s="12" t="n">
        <f aca="false">S251-2*Calculator!$B$6*M251</f>
        <v>34.7686993176604</v>
      </c>
      <c r="U251" s="12" t="n">
        <f aca="false">2*Calculator!$B$5*M251</f>
        <v>16.3799962734144</v>
      </c>
      <c r="V251" s="12" t="n">
        <f aca="false">R251*Calculator!$B$7/Calculator!$C$7</f>
        <v>0.151827295966502</v>
      </c>
      <c r="W251" s="14" t="n">
        <f aca="false">T251-U251-V251</f>
        <v>18.2368757482795</v>
      </c>
      <c r="X251" s="7" t="str">
        <f aca="false">LEFT(A251,7)</f>
        <v>2026-08</v>
      </c>
    </row>
    <row r="252" customFormat="false" ht="15" hidden="false" customHeight="false" outlineLevel="0" collapsed="false">
      <c r="A252" s="7" t="s">
        <v>390</v>
      </c>
      <c r="B252" s="7" t="s">
        <v>199</v>
      </c>
      <c r="C252" s="7" t="s">
        <v>64</v>
      </c>
      <c r="D252" s="7" t="s">
        <v>60</v>
      </c>
      <c r="E252" s="7" t="s">
        <v>67</v>
      </c>
      <c r="F252" s="28" t="n">
        <v>46260.8125</v>
      </c>
      <c r="G252" s="29" t="n">
        <v>78391.21862</v>
      </c>
      <c r="H252" s="29" t="n">
        <v>78816.8871</v>
      </c>
      <c r="I252" s="28" t="n">
        <v>46260.84375</v>
      </c>
      <c r="J252" s="29" t="n">
        <v>78022.018403424</v>
      </c>
      <c r="K252" s="7" t="s">
        <v>69</v>
      </c>
      <c r="L252" s="30" t="n">
        <v>0.002</v>
      </c>
      <c r="M252" s="12" t="n">
        <f aca="false">L252*G252*Settings!$B$5</f>
        <v>13796.85447712</v>
      </c>
      <c r="N252" s="31" t="n">
        <f aca="false">(I252-F252)*24</f>
        <v>0.75</v>
      </c>
      <c r="O252" s="12" t="n">
        <v>49.8430926136001</v>
      </c>
      <c r="P252" s="12" t="n">
        <v>33.4765739901165</v>
      </c>
      <c r="Q252" s="12" t="n">
        <f aca="false">2*Calculator!$C$5*M252</f>
        <v>16.2802882830016</v>
      </c>
      <c r="R252" s="12" t="n">
        <f aca="false">O252-P252-Q252</f>
        <v>0.0862303404819969</v>
      </c>
      <c r="S252" s="12" t="n">
        <f aca="false">O252+2*Calculator!$C$6*M252</f>
        <v>55.3618344044481</v>
      </c>
      <c r="T252" s="12" t="n">
        <f aca="false">S252-2*Calculator!$B$6*M252</f>
        <v>49.8430926136001</v>
      </c>
      <c r="U252" s="12" t="n">
        <f aca="false">2*Calculator!$B$5*M252</f>
        <v>16.2802882830016</v>
      </c>
      <c r="V252" s="12" t="n">
        <f aca="false">R252*Calculator!$B$7/Calculator!$C$7</f>
        <v>0.0862303404819969</v>
      </c>
      <c r="W252" s="14" t="n">
        <f aca="false">T252-U252-V252</f>
        <v>33.4765739901165</v>
      </c>
      <c r="X252" s="7" t="str">
        <f aca="false">LEFT(A252,7)</f>
        <v>2026-08</v>
      </c>
    </row>
    <row r="253" customFormat="false" ht="15" hidden="false" customHeight="false" outlineLevel="0" collapsed="false">
      <c r="A253" s="7" t="s">
        <v>391</v>
      </c>
      <c r="B253" s="7" t="s">
        <v>201</v>
      </c>
      <c r="C253" s="7" t="s">
        <v>63</v>
      </c>
      <c r="D253" s="7" t="s">
        <v>59</v>
      </c>
      <c r="E253" s="7" t="s">
        <v>66</v>
      </c>
      <c r="F253" s="28" t="n">
        <v>46261.5625</v>
      </c>
      <c r="G253" s="29" t="n">
        <v>79070.11086</v>
      </c>
      <c r="H253" s="29" t="n">
        <v>78731.725</v>
      </c>
      <c r="I253" s="28" t="n">
        <v>46261.5625</v>
      </c>
      <c r="J253" s="29" t="n">
        <v>79738.352674293</v>
      </c>
      <c r="K253" s="7" t="s">
        <v>69</v>
      </c>
      <c r="L253" s="30" t="n">
        <v>0.003</v>
      </c>
      <c r="M253" s="12" t="n">
        <f aca="false">L253*G253*Settings!$B$5</f>
        <v>20874.50926704</v>
      </c>
      <c r="N253" s="31" t="n">
        <f aca="false">(I253-F253)*24</f>
        <v>0</v>
      </c>
      <c r="O253" s="12" t="n">
        <v>131.104925408864</v>
      </c>
      <c r="P253" s="12" t="n">
        <v>106.473004473756</v>
      </c>
      <c r="Q253" s="12" t="n">
        <f aca="false">2*Calculator!$C$5*M253</f>
        <v>24.6319209351072</v>
      </c>
      <c r="R253" s="12" t="n">
        <f aca="false">O253-P253-Q253</f>
        <v>0</v>
      </c>
      <c r="S253" s="12" t="n">
        <f aca="false">O253+2*Calculator!$C$6*M253</f>
        <v>139.45472911568</v>
      </c>
      <c r="T253" s="12" t="n">
        <f aca="false">S253-2*Calculator!$B$6*M253</f>
        <v>131.104925408864</v>
      </c>
      <c r="U253" s="12" t="n">
        <f aca="false">2*Calculator!$B$5*M253</f>
        <v>24.6319209351072</v>
      </c>
      <c r="V253" s="12" t="n">
        <f aca="false">R253*Calculator!$B$7/Calculator!$C$7</f>
        <v>0</v>
      </c>
      <c r="W253" s="14" t="n">
        <f aca="false">T253-U253-V253</f>
        <v>106.473004473756</v>
      </c>
      <c r="X253" s="7" t="str">
        <f aca="false">LEFT(A253,7)</f>
        <v>2026-08</v>
      </c>
    </row>
    <row r="254" customFormat="false" ht="15" hidden="false" customHeight="false" outlineLevel="0" collapsed="false">
      <c r="A254" s="7" t="s">
        <v>392</v>
      </c>
      <c r="B254" s="7" t="s">
        <v>203</v>
      </c>
      <c r="C254" s="7" t="s">
        <v>63</v>
      </c>
      <c r="D254" s="7" t="s">
        <v>60</v>
      </c>
      <c r="E254" s="7" t="s">
        <v>67</v>
      </c>
      <c r="F254" s="28" t="n">
        <v>46262.59375</v>
      </c>
      <c r="G254" s="29" t="n">
        <v>79666.66348</v>
      </c>
      <c r="H254" s="29" t="n">
        <v>80142.2244</v>
      </c>
      <c r="I254" s="28" t="n">
        <v>46262.6041666667</v>
      </c>
      <c r="J254" s="29" t="n">
        <v>79314.449948046</v>
      </c>
      <c r="K254" s="7" t="s">
        <v>69</v>
      </c>
      <c r="L254" s="30" t="n">
        <v>0.002</v>
      </c>
      <c r="M254" s="12" t="n">
        <f aca="false">L254*G254*Settings!$B$5</f>
        <v>14021.33277248</v>
      </c>
      <c r="N254" s="31" t="n">
        <f aca="false">(I254-F254)*24</f>
        <v>0.25</v>
      </c>
      <c r="O254" s="12" t="n">
        <v>50.5215229508003</v>
      </c>
      <c r="P254" s="12" t="n">
        <v>33.9325336143599</v>
      </c>
      <c r="Q254" s="12" t="n">
        <f aca="false">2*Calculator!$C$5*M254</f>
        <v>16.5451726715264</v>
      </c>
      <c r="R254" s="12" t="n">
        <f aca="false">O254-P254-Q254</f>
        <v>0.0438166649140115</v>
      </c>
      <c r="S254" s="12" t="n">
        <f aca="false">O254+2*Calculator!$C$6*M254</f>
        <v>56.1300560597923</v>
      </c>
      <c r="T254" s="12" t="n">
        <f aca="false">S254-2*Calculator!$B$6*M254</f>
        <v>50.5215229508003</v>
      </c>
      <c r="U254" s="12" t="n">
        <f aca="false">2*Calculator!$B$5*M254</f>
        <v>16.5451726715264</v>
      </c>
      <c r="V254" s="12" t="n">
        <f aca="false">R254*Calculator!$B$7/Calculator!$C$7</f>
        <v>0.0438166649140115</v>
      </c>
      <c r="W254" s="14" t="n">
        <f aca="false">T254-U254-V254</f>
        <v>33.9325336143599</v>
      </c>
      <c r="X254" s="7" t="str">
        <f aca="false">LEFT(A254,7)</f>
        <v>2026-08</v>
      </c>
    </row>
    <row r="255" customFormat="false" ht="15" hidden="false" customHeight="false" outlineLevel="0" collapsed="false">
      <c r="A255" s="7" t="s">
        <v>393</v>
      </c>
      <c r="B255" s="7" t="s">
        <v>205</v>
      </c>
      <c r="C255" s="7" t="s">
        <v>63</v>
      </c>
      <c r="D255" s="7" t="s">
        <v>60</v>
      </c>
      <c r="E255" s="7" t="s">
        <v>67</v>
      </c>
      <c r="F255" s="28" t="n">
        <v>46263.5625</v>
      </c>
      <c r="G255" s="29" t="n">
        <v>77571.38262</v>
      </c>
      <c r="H255" s="29" t="n">
        <v>77979.335</v>
      </c>
      <c r="I255" s="28" t="n">
        <v>46263.78125</v>
      </c>
      <c r="J255" s="29" t="n">
        <v>77645.12592</v>
      </c>
      <c r="K255" s="7" t="s">
        <v>71</v>
      </c>
      <c r="L255" s="30" t="n">
        <v>0.002</v>
      </c>
      <c r="M255" s="12" t="n">
        <f aca="false">L255*G255*Settings!$B$5</f>
        <v>13652.56334112</v>
      </c>
      <c r="N255" s="31" t="n">
        <f aca="false">(I255-F255)*24</f>
        <v>5.25</v>
      </c>
      <c r="O255" s="12" t="n">
        <v>-12.9788208000029</v>
      </c>
      <c r="P255" s="12" t="n">
        <v>-29.9847950117855</v>
      </c>
      <c r="Q255" s="12" t="n">
        <f aca="false">2*Calculator!$C$5*M255</f>
        <v>16.1100247425216</v>
      </c>
      <c r="R255" s="12" t="n">
        <f aca="false">O255-P255-Q255</f>
        <v>0.895949469261002</v>
      </c>
      <c r="S255" s="12" t="n">
        <f aca="false">O255+2*Calculator!$C$6*M255</f>
        <v>-7.5177954635549</v>
      </c>
      <c r="T255" s="12" t="n">
        <f aca="false">S255-2*Calculator!$B$6*M255</f>
        <v>-12.9788208000029</v>
      </c>
      <c r="U255" s="12" t="n">
        <f aca="false">2*Calculator!$B$5*M255</f>
        <v>16.1100247425216</v>
      </c>
      <c r="V255" s="12" t="n">
        <f aca="false">R255*Calculator!$B$7/Calculator!$C$7</f>
        <v>0.895949469261002</v>
      </c>
      <c r="W255" s="14" t="n">
        <f aca="false">T255-U255-V255</f>
        <v>-29.9847950117855</v>
      </c>
      <c r="X255" s="7" t="str">
        <f aca="false">LEFT(A255,7)</f>
        <v>2026-08</v>
      </c>
    </row>
    <row r="256" customFormat="false" ht="15" hidden="false" customHeight="false" outlineLevel="0" collapsed="false">
      <c r="A256" s="7" t="s">
        <v>393</v>
      </c>
      <c r="B256" s="7" t="s">
        <v>205</v>
      </c>
      <c r="C256" s="7" t="s">
        <v>64</v>
      </c>
      <c r="D256" s="7" t="s">
        <v>60</v>
      </c>
      <c r="E256" s="7" t="s">
        <v>67</v>
      </c>
      <c r="F256" s="28" t="n">
        <v>46263.8229166667</v>
      </c>
      <c r="G256" s="29" t="n">
        <v>77641.26864</v>
      </c>
      <c r="H256" s="29" t="n">
        <v>78036.49105</v>
      </c>
      <c r="I256" s="28" t="n">
        <v>46263.84375</v>
      </c>
      <c r="J256" s="29" t="n">
        <v>78052.09834821</v>
      </c>
      <c r="K256" s="7" t="s">
        <v>70</v>
      </c>
      <c r="L256" s="30" t="n">
        <v>0.002</v>
      </c>
      <c r="M256" s="12" t="n">
        <f aca="false">L256*G256*Settings!$B$5</f>
        <v>13664.86328064</v>
      </c>
      <c r="N256" s="31" t="n">
        <f aca="false">(I256-F256)*24</f>
        <v>0.5</v>
      </c>
      <c r="O256" s="12" t="n">
        <v>-72.3060286449581</v>
      </c>
      <c r="P256" s="12" t="n">
        <v>-88.5159727116173</v>
      </c>
      <c r="Q256" s="12" t="n">
        <f aca="false">2*Calculator!$C$5*M256</f>
        <v>16.1245386711552</v>
      </c>
      <c r="R256" s="12" t="n">
        <f aca="false">O256-P256-Q256</f>
        <v>0.0854053955040008</v>
      </c>
      <c r="S256" s="12" t="n">
        <f aca="false">O256+2*Calculator!$C$6*M256</f>
        <v>-66.8400833327021</v>
      </c>
      <c r="T256" s="12" t="n">
        <f aca="false">S256-2*Calculator!$B$6*M256</f>
        <v>-72.3060286449581</v>
      </c>
      <c r="U256" s="12" t="n">
        <f aca="false">2*Calculator!$B$5*M256</f>
        <v>16.1245386711552</v>
      </c>
      <c r="V256" s="12" t="n">
        <f aca="false">R256*Calculator!$B$7/Calculator!$C$7</f>
        <v>0.0854053955040008</v>
      </c>
      <c r="W256" s="14" t="n">
        <f aca="false">T256-U256-V256</f>
        <v>-88.5159727116173</v>
      </c>
      <c r="X256" s="7" t="str">
        <f aca="false">LEFT(A256,7)</f>
        <v>2026-08</v>
      </c>
    </row>
    <row r="257" customFormat="false" ht="15" hidden="false" customHeight="false" outlineLevel="0" collapsed="false">
      <c r="A257" s="7" t="s">
        <v>394</v>
      </c>
      <c r="B257" s="7" t="s">
        <v>213</v>
      </c>
      <c r="C257" s="7" t="s">
        <v>63</v>
      </c>
      <c r="D257" s="7" t="s">
        <v>60</v>
      </c>
      <c r="E257" s="7" t="s">
        <v>67</v>
      </c>
      <c r="F257" s="28" t="n">
        <v>46265.5729166667</v>
      </c>
      <c r="G257" s="29" t="n">
        <v>78117.07346</v>
      </c>
      <c r="H257" s="29" t="n">
        <v>78614.179</v>
      </c>
      <c r="I257" s="28" t="n">
        <v>46265.6041666667</v>
      </c>
      <c r="J257" s="29" t="n">
        <v>78629.9018358</v>
      </c>
      <c r="K257" s="7" t="s">
        <v>70</v>
      </c>
      <c r="L257" s="30" t="n">
        <v>0.002</v>
      </c>
      <c r="M257" s="12" t="n">
        <f aca="false">L257*G257*Settings!$B$5</f>
        <v>13748.60492896</v>
      </c>
      <c r="N257" s="31" t="n">
        <f aca="false">(I257-F257)*24</f>
        <v>0.75</v>
      </c>
      <c r="O257" s="12" t="n">
        <v>-90.257794140798</v>
      </c>
      <c r="P257" s="12" t="n">
        <v>-106.61004112818</v>
      </c>
      <c r="Q257" s="12" t="n">
        <f aca="false">2*Calculator!$C$5*M257</f>
        <v>16.2233538161728</v>
      </c>
      <c r="R257" s="12" t="n">
        <f aca="false">O257-P257-Q257</f>
        <v>0.128893171208961</v>
      </c>
      <c r="S257" s="12" t="n">
        <f aca="false">O257+2*Calculator!$C$6*M257</f>
        <v>-84.758352169214</v>
      </c>
      <c r="T257" s="12" t="n">
        <f aca="false">S257-2*Calculator!$B$6*M257</f>
        <v>-90.257794140798</v>
      </c>
      <c r="U257" s="12" t="n">
        <f aca="false">2*Calculator!$B$5*M257</f>
        <v>16.2233538161728</v>
      </c>
      <c r="V257" s="12" t="n">
        <f aca="false">R257*Calculator!$B$7/Calculator!$C$7</f>
        <v>0.128893171208961</v>
      </c>
      <c r="W257" s="14" t="n">
        <f aca="false">T257-U257-V257</f>
        <v>-106.61004112818</v>
      </c>
      <c r="X257" s="7" t="str">
        <f aca="false">LEFT(A257,7)</f>
        <v>2026-08</v>
      </c>
    </row>
    <row r="258" customFormat="false" ht="15" hidden="false" customHeight="false" outlineLevel="0" collapsed="false">
      <c r="A258" s="7" t="s">
        <v>394</v>
      </c>
      <c r="B258" s="7" t="s">
        <v>213</v>
      </c>
      <c r="C258" s="7" t="s">
        <v>64</v>
      </c>
      <c r="D258" s="7" t="s">
        <v>60</v>
      </c>
      <c r="E258" s="7" t="s">
        <v>66</v>
      </c>
      <c r="F258" s="28" t="n">
        <v>46265.8229166667</v>
      </c>
      <c r="G258" s="29" t="n">
        <v>77879.77284</v>
      </c>
      <c r="H258" s="29" t="n">
        <v>77452.58785</v>
      </c>
      <c r="I258" s="28" t="n">
        <v>46265.8333333333</v>
      </c>
      <c r="J258" s="29" t="n">
        <v>78527.4951117495</v>
      </c>
      <c r="K258" s="7" t="s">
        <v>69</v>
      </c>
      <c r="L258" s="30" t="n">
        <v>0.002</v>
      </c>
      <c r="M258" s="12" t="n">
        <f aca="false">L258*G258*Settings!$B$5</f>
        <v>13706.84001984</v>
      </c>
      <c r="N258" s="31" t="n">
        <f aca="false">(I258-F258)*24</f>
        <v>0.250000000465556</v>
      </c>
      <c r="O258" s="12" t="n">
        <v>74.4212562440605</v>
      </c>
      <c r="P258" s="12" t="n">
        <v>58.2043511455873</v>
      </c>
      <c r="Q258" s="12" t="n">
        <f aca="false">2*Calculator!$C$5*M258</f>
        <v>16.1740712234112</v>
      </c>
      <c r="R258" s="12" t="n">
        <f aca="false">O258-P258-Q258</f>
        <v>0.0428338750619943</v>
      </c>
      <c r="S258" s="12" t="n">
        <f aca="false">O258+2*Calculator!$C$6*M258</f>
        <v>79.9039922519965</v>
      </c>
      <c r="T258" s="12" t="n">
        <f aca="false">S258-2*Calculator!$B$6*M258</f>
        <v>74.4212562440605</v>
      </c>
      <c r="U258" s="12" t="n">
        <f aca="false">2*Calculator!$B$5*M258</f>
        <v>16.1740712234112</v>
      </c>
      <c r="V258" s="12" t="n">
        <f aca="false">R258*Calculator!$B$7/Calculator!$C$7</f>
        <v>0.0428338750619943</v>
      </c>
      <c r="W258" s="14" t="n">
        <f aca="false">T258-U258-V258</f>
        <v>58.2043511455873</v>
      </c>
      <c r="X258" s="7" t="str">
        <f aca="false">LEFT(A258,7)</f>
        <v>2026-08</v>
      </c>
    </row>
    <row r="259" customFormat="false" ht="15" hidden="false" customHeight="false" outlineLevel="0" collapsed="false">
      <c r="A259" s="7" t="s">
        <v>395</v>
      </c>
      <c r="B259" s="7" t="s">
        <v>199</v>
      </c>
      <c r="C259" s="7" t="s">
        <v>63</v>
      </c>
      <c r="D259" s="7" t="s">
        <v>59</v>
      </c>
      <c r="E259" s="7" t="s">
        <v>67</v>
      </c>
      <c r="F259" s="28" t="n">
        <v>46267.5625</v>
      </c>
      <c r="G259" s="29" t="n">
        <v>77429.31104</v>
      </c>
      <c r="H259" s="29" t="n">
        <v>77636.6806</v>
      </c>
      <c r="I259" s="28" t="n">
        <v>46267.59375</v>
      </c>
      <c r="J259" s="29" t="n">
        <v>76972.433798478</v>
      </c>
      <c r="K259" s="7" t="s">
        <v>69</v>
      </c>
      <c r="L259" s="30" t="n">
        <v>0.005</v>
      </c>
      <c r="M259" s="12" t="n">
        <f aca="false">L259*G259*Settings!$B$5</f>
        <v>34068.8968576</v>
      </c>
      <c r="N259" s="31" t="n">
        <f aca="false">(I259-F259)*24</f>
        <v>0.75</v>
      </c>
      <c r="O259" s="12" t="n">
        <v>136.14225099746</v>
      </c>
      <c r="P259" s="12" t="n">
        <v>95.7067290395958</v>
      </c>
      <c r="Q259" s="12" t="n">
        <f aca="false">2*Calculator!$C$5*M259</f>
        <v>40.201298291968</v>
      </c>
      <c r="R259" s="12" t="n">
        <f aca="false">O259-P259-Q259</f>
        <v>0.234223665896032</v>
      </c>
      <c r="S259" s="12" t="n">
        <f aca="false">O259+2*Calculator!$C$6*M259</f>
        <v>149.7698097405</v>
      </c>
      <c r="T259" s="12" t="n">
        <f aca="false">S259-2*Calculator!$B$6*M259</f>
        <v>136.14225099746</v>
      </c>
      <c r="U259" s="12" t="n">
        <f aca="false">2*Calculator!$B$5*M259</f>
        <v>40.201298291968</v>
      </c>
      <c r="V259" s="12" t="n">
        <f aca="false">R259*Calculator!$B$7/Calculator!$C$7</f>
        <v>0.234223665896032</v>
      </c>
      <c r="W259" s="14" t="n">
        <f aca="false">T259-U259-V259</f>
        <v>95.7067290395958</v>
      </c>
      <c r="X259" s="7" t="str">
        <f aca="false">LEFT(A259,7)</f>
        <v>2026-09</v>
      </c>
    </row>
    <row r="260" customFormat="false" ht="15" hidden="false" customHeight="false" outlineLevel="0" collapsed="false">
      <c r="A260" s="7" t="s">
        <v>395</v>
      </c>
      <c r="B260" s="7" t="s">
        <v>199</v>
      </c>
      <c r="C260" s="7" t="s">
        <v>64</v>
      </c>
      <c r="D260" s="7" t="s">
        <v>60</v>
      </c>
      <c r="E260" s="7" t="s">
        <v>67</v>
      </c>
      <c r="F260" s="28" t="n">
        <v>46267.8125</v>
      </c>
      <c r="G260" s="29" t="n">
        <v>77099.577</v>
      </c>
      <c r="H260" s="29" t="n">
        <v>77725.09605</v>
      </c>
      <c r="I260" s="28" t="n">
        <v>46267.8645833333</v>
      </c>
      <c r="J260" s="29" t="n">
        <v>76874.3515584525</v>
      </c>
      <c r="K260" s="7" t="s">
        <v>69</v>
      </c>
      <c r="L260" s="30" t="n">
        <v>0.001</v>
      </c>
      <c r="M260" s="12" t="n">
        <f aca="false">L260*G260*Settings!$B$5</f>
        <v>6784.762776</v>
      </c>
      <c r="N260" s="31" t="n">
        <f aca="false">(I260-F260)*24</f>
        <v>1.25</v>
      </c>
      <c r="O260" s="12" t="n">
        <v>19.8198388561803</v>
      </c>
      <c r="P260" s="12" t="n">
        <v>11.7078068621253</v>
      </c>
      <c r="Q260" s="12" t="n">
        <f aca="false">2*Calculator!$C$5*M260</f>
        <v>8.00602007568</v>
      </c>
      <c r="R260" s="12" t="n">
        <f aca="false">O260-P260-Q260</f>
        <v>0.106011918374996</v>
      </c>
      <c r="S260" s="12" t="n">
        <f aca="false">O260+2*Calculator!$C$6*M260</f>
        <v>22.5337439665803</v>
      </c>
      <c r="T260" s="12" t="n">
        <f aca="false">S260-2*Calculator!$B$6*M260</f>
        <v>19.8198388561803</v>
      </c>
      <c r="U260" s="12" t="n">
        <f aca="false">2*Calculator!$B$5*M260</f>
        <v>8.00602007568</v>
      </c>
      <c r="V260" s="12" t="n">
        <f aca="false">R260*Calculator!$B$7/Calculator!$C$7</f>
        <v>0.106011918374996</v>
      </c>
      <c r="W260" s="14" t="n">
        <f aca="false">T260-U260-V260</f>
        <v>11.7078068621253</v>
      </c>
      <c r="X260" s="7" t="str">
        <f aca="false">LEFT(A260,7)</f>
        <v>2026-09</v>
      </c>
    </row>
    <row r="261" customFormat="false" ht="15" hidden="false" customHeight="false" outlineLevel="0" collapsed="false">
      <c r="A261" s="7" t="s">
        <v>396</v>
      </c>
      <c r="B261" s="7" t="s">
        <v>201</v>
      </c>
      <c r="C261" s="7" t="s">
        <v>63</v>
      </c>
      <c r="D261" s="7" t="s">
        <v>59</v>
      </c>
      <c r="E261" s="7" t="s">
        <v>67</v>
      </c>
      <c r="F261" s="28" t="n">
        <v>46268.5625</v>
      </c>
      <c r="G261" s="29" t="n">
        <v>77611.87452</v>
      </c>
      <c r="H261" s="29" t="n">
        <v>77939.5342</v>
      </c>
      <c r="I261" s="28" t="n">
        <v>46268.5625</v>
      </c>
      <c r="J261" s="29" t="n">
        <v>77955.12210684</v>
      </c>
      <c r="K261" s="7" t="s">
        <v>70</v>
      </c>
      <c r="L261" s="30" t="n">
        <v>0.003</v>
      </c>
      <c r="M261" s="12" t="n">
        <f aca="false">L261*G261*Settings!$B$5</f>
        <v>20489.53487328</v>
      </c>
      <c r="N261" s="31" t="n">
        <f aca="false">(I261-F261)*24</f>
        <v>0</v>
      </c>
      <c r="O261" s="12" t="n">
        <v>-90.6173629257618</v>
      </c>
      <c r="P261" s="12" t="n">
        <v>-114.795014076232</v>
      </c>
      <c r="Q261" s="12" t="n">
        <f aca="false">2*Calculator!$C$5*M261</f>
        <v>24.1776511504704</v>
      </c>
      <c r="R261" s="12" t="n">
        <f aca="false">O261-P261-Q261</f>
        <v>0</v>
      </c>
      <c r="S261" s="12" t="n">
        <f aca="false">O261+2*Calculator!$C$6*M261</f>
        <v>-82.4215489764498</v>
      </c>
      <c r="T261" s="12" t="n">
        <f aca="false">S261-2*Calculator!$B$6*M261</f>
        <v>-90.6173629257618</v>
      </c>
      <c r="U261" s="12" t="n">
        <f aca="false">2*Calculator!$B$5*M261</f>
        <v>24.1776511504704</v>
      </c>
      <c r="V261" s="12" t="n">
        <f aca="false">R261*Calculator!$B$7/Calculator!$C$7</f>
        <v>0</v>
      </c>
      <c r="W261" s="14" t="n">
        <f aca="false">T261-U261-V261</f>
        <v>-114.795014076232</v>
      </c>
      <c r="X261" s="7" t="str">
        <f aca="false">LEFT(A261,7)</f>
        <v>2026-09</v>
      </c>
    </row>
    <row r="262" customFormat="false" ht="15" hidden="false" customHeight="false" outlineLevel="0" collapsed="false">
      <c r="A262" s="7" t="s">
        <v>396</v>
      </c>
      <c r="B262" s="7" t="s">
        <v>201</v>
      </c>
      <c r="C262" s="7" t="s">
        <v>64</v>
      </c>
      <c r="D262" s="7" t="s">
        <v>60</v>
      </c>
      <c r="E262" s="7" t="s">
        <v>67</v>
      </c>
      <c r="F262" s="28" t="n">
        <v>46268.8125</v>
      </c>
      <c r="G262" s="29" t="n">
        <v>78786.43956</v>
      </c>
      <c r="H262" s="29" t="n">
        <v>79254.0455</v>
      </c>
      <c r="I262" s="28" t="n">
        <v>46268.8229166667</v>
      </c>
      <c r="J262" s="29" t="n">
        <v>79269.8963091</v>
      </c>
      <c r="K262" s="7" t="s">
        <v>70</v>
      </c>
      <c r="L262" s="30" t="n">
        <v>0.002</v>
      </c>
      <c r="M262" s="12" t="n">
        <f aca="false">L262*G262*Settings!$B$5</f>
        <v>13866.41336256</v>
      </c>
      <c r="N262" s="31" t="n">
        <f aca="false">(I262-F262)*24</f>
        <v>0.25</v>
      </c>
      <c r="O262" s="12" t="n">
        <v>-85.0883878415984</v>
      </c>
      <c r="P262" s="12" t="n">
        <v>-101.494088151177</v>
      </c>
      <c r="Q262" s="12" t="n">
        <f aca="false">2*Calculator!$C$5*M262</f>
        <v>16.3623677678208</v>
      </c>
      <c r="R262" s="12" t="n">
        <f aca="false">O262-P262-Q262</f>
        <v>0.0433325417580157</v>
      </c>
      <c r="S262" s="12" t="n">
        <f aca="false">O262+2*Calculator!$C$6*M262</f>
        <v>-79.5418224965744</v>
      </c>
      <c r="T262" s="12" t="n">
        <f aca="false">S262-2*Calculator!$B$6*M262</f>
        <v>-85.0883878415984</v>
      </c>
      <c r="U262" s="12" t="n">
        <f aca="false">2*Calculator!$B$5*M262</f>
        <v>16.3623677678208</v>
      </c>
      <c r="V262" s="12" t="n">
        <f aca="false">R262*Calculator!$B$7/Calculator!$C$7</f>
        <v>0.0433325417580157</v>
      </c>
      <c r="W262" s="14" t="n">
        <f aca="false">T262-U262-V262</f>
        <v>-101.494088151177</v>
      </c>
      <c r="X262" s="7" t="str">
        <f aca="false">LEFT(A262,7)</f>
        <v>2026-09</v>
      </c>
    </row>
    <row r="263" customFormat="false" ht="15" hidden="false" customHeight="false" outlineLevel="0" collapsed="false">
      <c r="A263" s="7" t="s">
        <v>397</v>
      </c>
      <c r="B263" s="7" t="s">
        <v>203</v>
      </c>
      <c r="C263" s="7" t="s">
        <v>63</v>
      </c>
      <c r="D263" s="7" t="s">
        <v>59</v>
      </c>
      <c r="E263" s="7" t="s">
        <v>67</v>
      </c>
      <c r="F263" s="28" t="n">
        <v>46269.5625</v>
      </c>
      <c r="G263" s="29" t="n">
        <v>80611.8744</v>
      </c>
      <c r="H263" s="29" t="n">
        <v>80833.6689</v>
      </c>
      <c r="I263" s="28" t="n">
        <v>46269.5625</v>
      </c>
      <c r="J263" s="29" t="n">
        <v>80529.551314725</v>
      </c>
      <c r="K263" s="7" t="s">
        <v>69</v>
      </c>
      <c r="L263" s="30" t="n">
        <v>0.005</v>
      </c>
      <c r="M263" s="12" t="n">
        <f aca="false">L263*G263*Settings!$B$5</f>
        <v>35469.224736</v>
      </c>
      <c r="N263" s="31" t="n">
        <f aca="false">(I263-F263)*24</f>
        <v>0</v>
      </c>
      <c r="O263" s="12" t="n">
        <v>38.417576116921</v>
      </c>
      <c r="P263" s="12" t="n">
        <v>-3.43610907155897</v>
      </c>
      <c r="Q263" s="12" t="n">
        <f aca="false">2*Calculator!$C$5*M263</f>
        <v>41.85368518848</v>
      </c>
      <c r="R263" s="12" t="n">
        <f aca="false">O263-P263-Q263</f>
        <v>0</v>
      </c>
      <c r="S263" s="12" t="n">
        <f aca="false">O263+2*Calculator!$C$6*M263</f>
        <v>52.605266011321</v>
      </c>
      <c r="T263" s="12" t="n">
        <f aca="false">S263-2*Calculator!$B$6*M263</f>
        <v>38.417576116921</v>
      </c>
      <c r="U263" s="12" t="n">
        <f aca="false">2*Calculator!$B$5*M263</f>
        <v>41.85368518848</v>
      </c>
      <c r="V263" s="12" t="n">
        <f aca="false">R263*Calculator!$B$7/Calculator!$C$7</f>
        <v>0</v>
      </c>
      <c r="W263" s="14" t="n">
        <f aca="false">T263-U263-V263</f>
        <v>-3.43610907155897</v>
      </c>
      <c r="X263" s="7" t="str">
        <f aca="false">LEFT(A263,7)</f>
        <v>2026-09</v>
      </c>
    </row>
    <row r="264" customFormat="false" ht="15" hidden="false" customHeight="false" outlineLevel="0" collapsed="false">
      <c r="A264" s="7" t="s">
        <v>397</v>
      </c>
      <c r="B264" s="7" t="s">
        <v>203</v>
      </c>
      <c r="C264" s="7" t="s">
        <v>64</v>
      </c>
      <c r="D264" s="7" t="s">
        <v>60</v>
      </c>
      <c r="E264" s="7" t="s">
        <v>67</v>
      </c>
      <c r="F264" s="28" t="n">
        <v>46269.8125</v>
      </c>
      <c r="G264" s="29" t="n">
        <v>79326.93144</v>
      </c>
      <c r="H264" s="29" t="n">
        <v>79871.0094</v>
      </c>
      <c r="I264" s="28" t="n">
        <v>46269.8333333333</v>
      </c>
      <c r="J264" s="29" t="n">
        <v>78969.210173898</v>
      </c>
      <c r="K264" s="7" t="s">
        <v>69</v>
      </c>
      <c r="L264" s="30" t="n">
        <v>0.002</v>
      </c>
      <c r="M264" s="12" t="n">
        <f aca="false">L264*G264*Settings!$B$5</f>
        <v>13961.53993344</v>
      </c>
      <c r="N264" s="31" t="n">
        <f aca="false">(I264-F264)*24</f>
        <v>0.5</v>
      </c>
      <c r="O264" s="12" t="n">
        <v>54.0275355496805</v>
      </c>
      <c r="P264" s="12" t="n">
        <v>37.4656588036373</v>
      </c>
      <c r="Q264" s="12" t="n">
        <f aca="false">2*Calculator!$C$5*M264</f>
        <v>16.4746171214592</v>
      </c>
      <c r="R264" s="12" t="n">
        <f aca="false">O264-P264-Q264</f>
        <v>0.0872596245840107</v>
      </c>
      <c r="S264" s="12" t="n">
        <f aca="false">O264+2*Calculator!$C$6*M264</f>
        <v>59.6121515230565</v>
      </c>
      <c r="T264" s="12" t="n">
        <f aca="false">S264-2*Calculator!$B$6*M264</f>
        <v>54.0275355496805</v>
      </c>
      <c r="U264" s="12" t="n">
        <f aca="false">2*Calculator!$B$5*M264</f>
        <v>16.4746171214592</v>
      </c>
      <c r="V264" s="12" t="n">
        <f aca="false">R264*Calculator!$B$7/Calculator!$C$7</f>
        <v>0.0872596245840107</v>
      </c>
      <c r="W264" s="14" t="n">
        <f aca="false">T264-U264-V264</f>
        <v>37.4656588036373</v>
      </c>
      <c r="X264" s="7" t="str">
        <f aca="false">LEFT(A264,7)</f>
        <v>2026-09</v>
      </c>
    </row>
    <row r="265" customFormat="false" ht="15" hidden="false" customHeight="false" outlineLevel="0" collapsed="false">
      <c r="A265" s="7" t="s">
        <v>398</v>
      </c>
      <c r="B265" s="7" t="s">
        <v>205</v>
      </c>
      <c r="C265" s="7" t="s">
        <v>63</v>
      </c>
      <c r="D265" s="7" t="s">
        <v>60</v>
      </c>
      <c r="E265" s="7" t="s">
        <v>67</v>
      </c>
      <c r="F265" s="28" t="n">
        <v>46270.5625</v>
      </c>
      <c r="G265" s="29" t="n">
        <v>79657.0654</v>
      </c>
      <c r="H265" s="29" t="n">
        <v>80066.98735</v>
      </c>
      <c r="I265" s="28" t="n">
        <v>46270.78125</v>
      </c>
      <c r="J265" s="29" t="n">
        <v>79697.53632</v>
      </c>
      <c r="K265" s="7" t="s">
        <v>71</v>
      </c>
      <c r="L265" s="30" t="n">
        <v>0.002</v>
      </c>
      <c r="M265" s="12" t="n">
        <f aca="false">L265*G265*Settings!$B$5</f>
        <v>14019.6435104</v>
      </c>
      <c r="N265" s="31" t="n">
        <f aca="false">(I265-F265)*24</f>
        <v>5.25</v>
      </c>
      <c r="O265" s="12" t="n">
        <v>-7.12288191999868</v>
      </c>
      <c r="P265" s="12" t="n">
        <v>-24.5861003676407</v>
      </c>
      <c r="Q265" s="12" t="n">
        <f aca="false">2*Calculator!$C$5*M265</f>
        <v>16.543179342272</v>
      </c>
      <c r="R265" s="12" t="n">
        <f aca="false">O265-P265-Q265</f>
        <v>0.920039105370002</v>
      </c>
      <c r="S265" s="12" t="n">
        <f aca="false">O265+2*Calculator!$C$6*M265</f>
        <v>-1.51502451583868</v>
      </c>
      <c r="T265" s="12" t="n">
        <f aca="false">S265-2*Calculator!$B$6*M265</f>
        <v>-7.12288191999868</v>
      </c>
      <c r="U265" s="12" t="n">
        <f aca="false">2*Calculator!$B$5*M265</f>
        <v>16.543179342272</v>
      </c>
      <c r="V265" s="12" t="n">
        <f aca="false">R265*Calculator!$B$7/Calculator!$C$7</f>
        <v>0.920039105370002</v>
      </c>
      <c r="W265" s="14" t="n">
        <f aca="false">T265-U265-V265</f>
        <v>-24.5861003676407</v>
      </c>
      <c r="X265" s="7" t="str">
        <f aca="false">LEFT(A265,7)</f>
        <v>2026-09</v>
      </c>
    </row>
    <row r="266" customFormat="false" ht="15" hidden="false" customHeight="false" outlineLevel="0" collapsed="false">
      <c r="A266" s="7" t="s">
        <v>399</v>
      </c>
      <c r="B266" s="7" t="s">
        <v>207</v>
      </c>
      <c r="C266" s="7" t="s">
        <v>63</v>
      </c>
      <c r="D266" s="7" t="s">
        <v>60</v>
      </c>
      <c r="E266" s="7" t="s">
        <v>66</v>
      </c>
      <c r="F266" s="28" t="n">
        <v>46271.59375</v>
      </c>
      <c r="G266" s="29" t="n">
        <v>79767.05022</v>
      </c>
      <c r="H266" s="29" t="n">
        <v>79383.45965</v>
      </c>
      <c r="I266" s="28" t="n">
        <v>46271.625</v>
      </c>
      <c r="J266" s="29" t="n">
        <v>79850.0291570285</v>
      </c>
      <c r="K266" s="7" t="s">
        <v>69</v>
      </c>
      <c r="L266" s="30" t="n">
        <v>0.002</v>
      </c>
      <c r="M266" s="12" t="n">
        <f aca="false">L266*G266*Settings!$B$5</f>
        <v>14039.00083872</v>
      </c>
      <c r="N266" s="31" t="n">
        <f aca="false">(I266-F266)*24</f>
        <v>0.75</v>
      </c>
      <c r="O266" s="12" t="n">
        <v>22.7728558576183</v>
      </c>
      <c r="P266" s="12" t="n">
        <v>6.07521923506567</v>
      </c>
      <c r="Q266" s="12" t="n">
        <f aca="false">2*Calculator!$C$5*M266</f>
        <v>16.5660209896896</v>
      </c>
      <c r="R266" s="12" t="n">
        <f aca="false">O266-P266-Q266</f>
        <v>0.131615632863003</v>
      </c>
      <c r="S266" s="12" t="n">
        <f aca="false">O266+2*Calculator!$C$6*M266</f>
        <v>28.3884561931063</v>
      </c>
      <c r="T266" s="12" t="n">
        <f aca="false">S266-2*Calculator!$B$6*M266</f>
        <v>22.7728558576183</v>
      </c>
      <c r="U266" s="12" t="n">
        <f aca="false">2*Calculator!$B$5*M266</f>
        <v>16.5660209896896</v>
      </c>
      <c r="V266" s="12" t="n">
        <f aca="false">R266*Calculator!$B$7/Calculator!$C$7</f>
        <v>0.131615632863003</v>
      </c>
      <c r="W266" s="14" t="n">
        <f aca="false">T266-U266-V266</f>
        <v>6.07521923506567</v>
      </c>
      <c r="X266" s="7" t="str">
        <f aca="false">LEFT(A266,7)</f>
        <v>2026-09</v>
      </c>
    </row>
    <row r="267" customFormat="false" ht="15" hidden="false" customHeight="false" outlineLevel="0" collapsed="false">
      <c r="A267" s="7" t="s">
        <v>400</v>
      </c>
      <c r="B267" s="7" t="s">
        <v>213</v>
      </c>
      <c r="C267" s="7" t="s">
        <v>63</v>
      </c>
      <c r="D267" s="7" t="s">
        <v>60</v>
      </c>
      <c r="E267" s="7" t="s">
        <v>67</v>
      </c>
      <c r="F267" s="28" t="n">
        <v>46272.5833333333</v>
      </c>
      <c r="G267" s="29" t="n">
        <v>79414.114</v>
      </c>
      <c r="H267" s="29" t="n">
        <v>79842.98385</v>
      </c>
      <c r="I267" s="28" t="n">
        <v>46272.78125</v>
      </c>
      <c r="J267" s="29" t="n">
        <v>79606.11804</v>
      </c>
      <c r="K267" s="7" t="s">
        <v>71</v>
      </c>
      <c r="L267" s="30" t="n">
        <v>0.002</v>
      </c>
      <c r="M267" s="12" t="n">
        <f aca="false">L267*G267*Settings!$B$5</f>
        <v>13976.884064</v>
      </c>
      <c r="N267" s="31" t="n">
        <f aca="false">(I267-F267)*24</f>
        <v>4.75</v>
      </c>
      <c r="O267" s="12" t="n">
        <v>-33.79271104</v>
      </c>
      <c r="P267" s="12" t="n">
        <v>-51.11531172682</v>
      </c>
      <c r="Q267" s="12" t="n">
        <f aca="false">2*Calculator!$C$5*M267</f>
        <v>16.49272319552</v>
      </c>
      <c r="R267" s="12" t="n">
        <f aca="false">O267-P267-Q267</f>
        <v>0.82987749130001</v>
      </c>
      <c r="S267" s="12" t="n">
        <f aca="false">O267+2*Calculator!$C$6*M267</f>
        <v>-28.2019574144</v>
      </c>
      <c r="T267" s="12" t="n">
        <f aca="false">S267-2*Calculator!$B$6*M267</f>
        <v>-33.79271104</v>
      </c>
      <c r="U267" s="12" t="n">
        <f aca="false">2*Calculator!$B$5*M267</f>
        <v>16.49272319552</v>
      </c>
      <c r="V267" s="12" t="n">
        <f aca="false">R267*Calculator!$B$7/Calculator!$C$7</f>
        <v>0.82987749130001</v>
      </c>
      <c r="W267" s="14" t="n">
        <f aca="false">T267-U267-V267</f>
        <v>-51.11531172682</v>
      </c>
      <c r="X267" s="7" t="str">
        <f aca="false">LEFT(A267,7)</f>
        <v>2026-09</v>
      </c>
    </row>
    <row r="268" customFormat="false" ht="15" hidden="false" customHeight="false" outlineLevel="0" collapsed="false">
      <c r="A268" s="7" t="s">
        <v>401</v>
      </c>
      <c r="B268" s="7" t="s">
        <v>209</v>
      </c>
      <c r="C268" s="7" t="s">
        <v>63</v>
      </c>
      <c r="D268" s="7" t="s">
        <v>60</v>
      </c>
      <c r="E268" s="7" t="s">
        <v>66</v>
      </c>
      <c r="F268" s="28" t="n">
        <v>46273.5625</v>
      </c>
      <c r="G268" s="29" t="n">
        <v>78460.78902</v>
      </c>
      <c r="H268" s="29" t="n">
        <v>78047.5982</v>
      </c>
      <c r="I268" s="28" t="n">
        <v>46273.6458333333</v>
      </c>
      <c r="J268" s="29" t="n">
        <v>78653.368474541</v>
      </c>
      <c r="K268" s="7" t="s">
        <v>69</v>
      </c>
      <c r="L268" s="30" t="n">
        <v>0.002</v>
      </c>
      <c r="M268" s="12" t="n">
        <f aca="false">L268*G268*Settings!$B$5</f>
        <v>13809.09886752</v>
      </c>
      <c r="N268" s="31" t="n">
        <f aca="false">(I268-F268)*24</f>
        <v>2</v>
      </c>
      <c r="O268" s="12" t="n">
        <v>33.7428421136383</v>
      </c>
      <c r="P268" s="12" t="n">
        <v>17.1460314122377</v>
      </c>
      <c r="Q268" s="12" t="n">
        <f aca="false">2*Calculator!$C$5*M268</f>
        <v>16.2947366636736</v>
      </c>
      <c r="R268" s="12" t="n">
        <f aca="false">O268-P268-Q268</f>
        <v>0.302074037727007</v>
      </c>
      <c r="S268" s="12" t="n">
        <f aca="false">O268+2*Calculator!$C$6*M268</f>
        <v>39.2664816606463</v>
      </c>
      <c r="T268" s="12" t="n">
        <f aca="false">S268-2*Calculator!$B$6*M268</f>
        <v>33.7428421136383</v>
      </c>
      <c r="U268" s="12" t="n">
        <f aca="false">2*Calculator!$B$5*M268</f>
        <v>16.2947366636736</v>
      </c>
      <c r="V268" s="12" t="n">
        <f aca="false">R268*Calculator!$B$7/Calculator!$C$7</f>
        <v>0.302074037727007</v>
      </c>
      <c r="W268" s="14" t="n">
        <f aca="false">T268-U268-V268</f>
        <v>17.1460314122377</v>
      </c>
      <c r="X268" s="7" t="str">
        <f aca="false">LEFT(A268,7)</f>
        <v>2026-09</v>
      </c>
    </row>
    <row r="269" customFormat="false" ht="15" hidden="false" customHeight="false" outlineLevel="0" collapsed="false">
      <c r="A269" s="7" t="s">
        <v>401</v>
      </c>
      <c r="B269" s="7" t="s">
        <v>209</v>
      </c>
      <c r="C269" s="7" t="s">
        <v>64</v>
      </c>
      <c r="D269" s="7" t="s">
        <v>60</v>
      </c>
      <c r="E269" s="7" t="s">
        <v>66</v>
      </c>
      <c r="F269" s="28" t="n">
        <v>46273.8125</v>
      </c>
      <c r="G269" s="29" t="n">
        <v>77952.18732</v>
      </c>
      <c r="H269" s="29" t="n">
        <v>77310.53</v>
      </c>
      <c r="I269" s="28" t="n">
        <v>46273.8645833333</v>
      </c>
      <c r="J269" s="29" t="n">
        <v>78454.491632866</v>
      </c>
      <c r="K269" s="7" t="s">
        <v>69</v>
      </c>
      <c r="L269" s="30" t="n">
        <v>0.001</v>
      </c>
      <c r="M269" s="12" t="n">
        <f aca="false">L269*G269*Settings!$B$5</f>
        <v>6859.79248416</v>
      </c>
      <c r="N269" s="31" t="n">
        <f aca="false">(I269-F269)*24</f>
        <v>1.25</v>
      </c>
      <c r="O269" s="12" t="n">
        <v>44.2027795322086</v>
      </c>
      <c r="P269" s="12" t="n">
        <v>36.0010401433348</v>
      </c>
      <c r="Q269" s="12" t="n">
        <f aca="false">2*Calculator!$C$5*M269</f>
        <v>8.0945551313088</v>
      </c>
      <c r="R269" s="12" t="n">
        <f aca="false">O269-P269-Q269</f>
        <v>0.107184257564997</v>
      </c>
      <c r="S269" s="12" t="n">
        <f aca="false">O269+2*Calculator!$C$6*M269</f>
        <v>46.9466965258726</v>
      </c>
      <c r="T269" s="12" t="n">
        <f aca="false">S269-2*Calculator!$B$6*M269</f>
        <v>44.2027795322086</v>
      </c>
      <c r="U269" s="12" t="n">
        <f aca="false">2*Calculator!$B$5*M269</f>
        <v>8.0945551313088</v>
      </c>
      <c r="V269" s="12" t="n">
        <f aca="false">R269*Calculator!$B$7/Calculator!$C$7</f>
        <v>0.107184257564997</v>
      </c>
      <c r="W269" s="14" t="n">
        <f aca="false">T269-U269-V269</f>
        <v>36.0010401433348</v>
      </c>
      <c r="X269" s="7" t="str">
        <f aca="false">LEFT(A269,7)</f>
        <v>2026-09</v>
      </c>
    </row>
    <row r="270" customFormat="false" ht="15" hidden="false" customHeight="false" outlineLevel="0" collapsed="false">
      <c r="A270" s="7" t="s">
        <v>402</v>
      </c>
      <c r="B270" s="7" t="s">
        <v>199</v>
      </c>
      <c r="C270" s="7" t="s">
        <v>63</v>
      </c>
      <c r="D270" s="7" t="s">
        <v>61</v>
      </c>
      <c r="E270" s="7" t="s">
        <v>66</v>
      </c>
      <c r="F270" s="28" t="n">
        <v>46274.6041666667</v>
      </c>
      <c r="G270" s="29" t="n">
        <v>79676.4321</v>
      </c>
      <c r="H270" s="29" t="n">
        <v>79142.7076</v>
      </c>
      <c r="I270" s="28" t="n">
        <v>46274.625</v>
      </c>
      <c r="J270" s="29" t="n">
        <v>79126.87905848</v>
      </c>
      <c r="K270" s="7" t="s">
        <v>70</v>
      </c>
      <c r="L270" s="30" t="n">
        <v>0.002</v>
      </c>
      <c r="M270" s="12" t="n">
        <f aca="false">L270*G270*Settings!$B$5</f>
        <v>14023.0520496</v>
      </c>
      <c r="N270" s="31" t="n">
        <f aca="false">(I270-F270)*24</f>
        <v>0.5</v>
      </c>
      <c r="O270" s="12" t="n">
        <v>-96.7213353075183</v>
      </c>
      <c r="P270" s="12" t="n">
        <v>-113.356180801356</v>
      </c>
      <c r="Q270" s="12" t="n">
        <f aca="false">2*Calculator!$C$5*M270</f>
        <v>16.547201418528</v>
      </c>
      <c r="R270" s="12" t="n">
        <f aca="false">O270-P270-Q270</f>
        <v>0.0876440753100383</v>
      </c>
      <c r="S270" s="12" t="n">
        <f aca="false">O270+2*Calculator!$C$6*M270</f>
        <v>-91.1121144876783</v>
      </c>
      <c r="T270" s="12" t="n">
        <f aca="false">S270-2*Calculator!$B$6*M270</f>
        <v>-96.7213353075183</v>
      </c>
      <c r="U270" s="12" t="n">
        <f aca="false">2*Calculator!$B$5*M270</f>
        <v>16.547201418528</v>
      </c>
      <c r="V270" s="12" t="n">
        <f aca="false">R270*Calculator!$B$7/Calculator!$C$7</f>
        <v>0.0876440753100383</v>
      </c>
      <c r="W270" s="14" t="n">
        <f aca="false">T270-U270-V270</f>
        <v>-113.356180801356</v>
      </c>
      <c r="X270" s="7" t="str">
        <f aca="false">LEFT(A270,7)</f>
        <v>2026-09</v>
      </c>
    </row>
    <row r="271" customFormat="false" ht="15" hidden="false" customHeight="false" outlineLevel="0" collapsed="false">
      <c r="A271" s="7" t="s">
        <v>403</v>
      </c>
      <c r="B271" s="7" t="s">
        <v>207</v>
      </c>
      <c r="C271" s="7" t="s">
        <v>64</v>
      </c>
      <c r="D271" s="7" t="s">
        <v>59</v>
      </c>
      <c r="E271" s="7" t="s">
        <v>66</v>
      </c>
      <c r="F271" s="28" t="n">
        <v>46278.8125</v>
      </c>
      <c r="G271" s="29" t="n">
        <v>76829.06274</v>
      </c>
      <c r="H271" s="29" t="n">
        <v>76624.79015</v>
      </c>
      <c r="I271" s="28" t="n">
        <v>46278.8333333333</v>
      </c>
      <c r="J271" s="29" t="n">
        <v>77165.4956661295</v>
      </c>
      <c r="K271" s="7" t="s">
        <v>69</v>
      </c>
      <c r="L271" s="30" t="n">
        <v>0.005</v>
      </c>
      <c r="M271" s="12" t="n">
        <f aca="false">L271*G271*Settings!$B$5</f>
        <v>33804.7876056</v>
      </c>
      <c r="N271" s="31" t="n">
        <f aca="false">(I271-F271)*24</f>
        <v>0.5</v>
      </c>
      <c r="O271" s="12" t="n">
        <v>104.086302212157</v>
      </c>
      <c r="P271" s="12" t="n">
        <v>64.0698848840284</v>
      </c>
      <c r="Q271" s="12" t="n">
        <f aca="false">2*Calculator!$C$5*M271</f>
        <v>39.889649374608</v>
      </c>
      <c r="R271" s="12" t="n">
        <f aca="false">O271-P271-Q271</f>
        <v>0.126767953521011</v>
      </c>
      <c r="S271" s="12" t="n">
        <f aca="false">O271+2*Calculator!$C$6*M271</f>
        <v>117.608217254397</v>
      </c>
      <c r="T271" s="12" t="n">
        <f aca="false">S271-2*Calculator!$B$6*M271</f>
        <v>104.086302212157</v>
      </c>
      <c r="U271" s="12" t="n">
        <f aca="false">2*Calculator!$B$5*M271</f>
        <v>39.889649374608</v>
      </c>
      <c r="V271" s="12" t="n">
        <f aca="false">R271*Calculator!$B$7/Calculator!$C$7</f>
        <v>0.126767953521011</v>
      </c>
      <c r="W271" s="14" t="n">
        <f aca="false">T271-U271-V271</f>
        <v>64.0698848840284</v>
      </c>
      <c r="X271" s="7" t="str">
        <f aca="false">LEFT(A271,7)</f>
        <v>2026-09</v>
      </c>
    </row>
    <row r="272" customFormat="false" ht="15" hidden="false" customHeight="false" outlineLevel="0" collapsed="false">
      <c r="A272" s="7" t="s">
        <v>404</v>
      </c>
      <c r="B272" s="7" t="s">
        <v>213</v>
      </c>
      <c r="C272" s="7" t="s">
        <v>64</v>
      </c>
      <c r="D272" s="7" t="s">
        <v>60</v>
      </c>
      <c r="E272" s="7" t="s">
        <v>67</v>
      </c>
      <c r="F272" s="28" t="n">
        <v>46279.8125</v>
      </c>
      <c r="G272" s="29" t="n">
        <v>78123.57216</v>
      </c>
      <c r="H272" s="29" t="n">
        <v>78591.0755</v>
      </c>
      <c r="I272" s="28" t="n">
        <v>46279.8229166667</v>
      </c>
      <c r="J272" s="29" t="n">
        <v>78606.7937151</v>
      </c>
      <c r="K272" s="7" t="s">
        <v>70</v>
      </c>
      <c r="L272" s="30" t="n">
        <v>0.002</v>
      </c>
      <c r="M272" s="12" t="n">
        <f aca="false">L272*G272*Settings!$B$5</f>
        <v>13749.74870016</v>
      </c>
      <c r="N272" s="31" t="n">
        <f aca="false">(I272-F272)*24</f>
        <v>0.25</v>
      </c>
      <c r="O272" s="12" t="n">
        <v>-85.0469936975995</v>
      </c>
      <c r="P272" s="12" t="n">
        <v>-101.314665128476</v>
      </c>
      <c r="Q272" s="12" t="n">
        <f aca="false">2*Calculator!$C$5*M272</f>
        <v>16.2247034661888</v>
      </c>
      <c r="R272" s="12" t="n">
        <f aca="false">O272-P272-Q272</f>
        <v>0.0429679646880032</v>
      </c>
      <c r="S272" s="12" t="n">
        <f aca="false">O272+2*Calculator!$C$6*M272</f>
        <v>-79.5470942175355</v>
      </c>
      <c r="T272" s="12" t="n">
        <f aca="false">S272-2*Calculator!$B$6*M272</f>
        <v>-85.0469936975995</v>
      </c>
      <c r="U272" s="12" t="n">
        <f aca="false">2*Calculator!$B$5*M272</f>
        <v>16.2247034661888</v>
      </c>
      <c r="V272" s="12" t="n">
        <f aca="false">R272*Calculator!$B$7/Calculator!$C$7</f>
        <v>0.0429679646880032</v>
      </c>
      <c r="W272" s="14" t="n">
        <f aca="false">T272-U272-V272</f>
        <v>-101.314665128476</v>
      </c>
      <c r="X272" s="7" t="str">
        <f aca="false">LEFT(A272,7)</f>
        <v>2026-09</v>
      </c>
    </row>
    <row r="273" customFormat="false" ht="15" hidden="false" customHeight="false" outlineLevel="0" collapsed="false">
      <c r="A273" s="7" t="s">
        <v>405</v>
      </c>
      <c r="B273" s="7" t="s">
        <v>199</v>
      </c>
      <c r="C273" s="7" t="s">
        <v>64</v>
      </c>
      <c r="D273" s="7" t="s">
        <v>60</v>
      </c>
      <c r="E273" s="7" t="s">
        <v>67</v>
      </c>
      <c r="F273" s="28" t="n">
        <v>46281.8125</v>
      </c>
      <c r="G273" s="29" t="n">
        <v>75600.3769</v>
      </c>
      <c r="H273" s="29" t="n">
        <v>76110.965</v>
      </c>
      <c r="I273" s="28" t="n">
        <v>46281.96875</v>
      </c>
      <c r="J273" s="29" t="n">
        <v>75454.834974405</v>
      </c>
      <c r="K273" s="7" t="s">
        <v>69</v>
      </c>
      <c r="L273" s="30" t="n">
        <v>0.002</v>
      </c>
      <c r="M273" s="12" t="n">
        <f aca="false">L273*G273*Settings!$B$5</f>
        <v>13305.6663344</v>
      </c>
      <c r="N273" s="31" t="n">
        <f aca="false">(I273-F273)*24</f>
        <v>3.75</v>
      </c>
      <c r="O273" s="12" t="n">
        <v>33.9474923942001</v>
      </c>
      <c r="P273" s="12" t="n">
        <v>17.6231030101831</v>
      </c>
      <c r="Q273" s="12" t="n">
        <f aca="false">2*Calculator!$C$5*M273</f>
        <v>15.700686274592</v>
      </c>
      <c r="R273" s="12" t="n">
        <f aca="false">O273-P273-Q273</f>
        <v>0.623703109425001</v>
      </c>
      <c r="S273" s="12" t="n">
        <f aca="false">O273+2*Calculator!$C$6*M273</f>
        <v>39.2697589279601</v>
      </c>
      <c r="T273" s="12" t="n">
        <f aca="false">S273-2*Calculator!$B$6*M273</f>
        <v>33.9474923942001</v>
      </c>
      <c r="U273" s="12" t="n">
        <f aca="false">2*Calculator!$B$5*M273</f>
        <v>15.700686274592</v>
      </c>
      <c r="V273" s="12" t="n">
        <f aca="false">R273*Calculator!$B$7/Calculator!$C$7</f>
        <v>0.623703109425001</v>
      </c>
      <c r="W273" s="14" t="n">
        <f aca="false">T273-U273-V273</f>
        <v>17.6231030101831</v>
      </c>
      <c r="X273" s="7" t="str">
        <f aca="false">LEFT(A273,7)</f>
        <v>2026-09</v>
      </c>
    </row>
    <row r="274" customFormat="false" ht="15" hidden="false" customHeight="false" outlineLevel="0" collapsed="false">
      <c r="A274" s="7" t="s">
        <v>406</v>
      </c>
      <c r="B274" s="7" t="s">
        <v>203</v>
      </c>
      <c r="C274" s="7" t="s">
        <v>63</v>
      </c>
      <c r="D274" s="7" t="s">
        <v>60</v>
      </c>
      <c r="E274" s="7" t="s">
        <v>66</v>
      </c>
      <c r="F274" s="28" t="n">
        <v>46283.5625</v>
      </c>
      <c r="G274" s="29" t="n">
        <v>77791.65522</v>
      </c>
      <c r="H274" s="29" t="n">
        <v>77350.35</v>
      </c>
      <c r="I274" s="28" t="n">
        <v>46283.5729166667</v>
      </c>
      <c r="J274" s="29" t="n">
        <v>77908.588860261</v>
      </c>
      <c r="K274" s="7" t="s">
        <v>69</v>
      </c>
      <c r="L274" s="30" t="n">
        <v>0.002</v>
      </c>
      <c r="M274" s="12" t="n">
        <f aca="false">L274*G274*Settings!$B$5</f>
        <v>13691.33131872</v>
      </c>
      <c r="N274" s="31" t="n">
        <f aca="false">(I274-F274)*24</f>
        <v>0.25</v>
      </c>
      <c r="O274" s="12" t="n">
        <v>28.334573405161</v>
      </c>
      <c r="P274" s="12" t="n">
        <v>12.1360170387004</v>
      </c>
      <c r="Q274" s="12" t="n">
        <f aca="false">2*Calculator!$C$5*M274</f>
        <v>16.1557709560896</v>
      </c>
      <c r="R274" s="12" t="n">
        <f aca="false">O274-P274-Q274</f>
        <v>0.0427854103709997</v>
      </c>
      <c r="S274" s="12" t="n">
        <f aca="false">O274+2*Calculator!$C$6*M274</f>
        <v>33.811105932649</v>
      </c>
      <c r="T274" s="12" t="n">
        <f aca="false">S274-2*Calculator!$B$6*M274</f>
        <v>28.334573405161</v>
      </c>
      <c r="U274" s="12" t="n">
        <f aca="false">2*Calculator!$B$5*M274</f>
        <v>16.1557709560896</v>
      </c>
      <c r="V274" s="12" t="n">
        <f aca="false">R274*Calculator!$B$7/Calculator!$C$7</f>
        <v>0.0427854103709997</v>
      </c>
      <c r="W274" s="14" t="n">
        <f aca="false">T274-U274-V274</f>
        <v>12.1360170387004</v>
      </c>
      <c r="X274" s="7" t="str">
        <f aca="false">LEFT(A274,7)</f>
        <v>2026-09</v>
      </c>
    </row>
    <row r="275" customFormat="false" ht="15" hidden="false" customHeight="false" outlineLevel="0" collapsed="false">
      <c r="A275" s="7" t="s">
        <v>406</v>
      </c>
      <c r="B275" s="7" t="s">
        <v>203</v>
      </c>
      <c r="C275" s="7" t="s">
        <v>64</v>
      </c>
      <c r="D275" s="7" t="s">
        <v>59</v>
      </c>
      <c r="E275" s="7" t="s">
        <v>66</v>
      </c>
      <c r="F275" s="28" t="n">
        <v>46283.8125</v>
      </c>
      <c r="G275" s="29" t="n">
        <v>80062.5093</v>
      </c>
      <c r="H275" s="29" t="n">
        <v>79179.053</v>
      </c>
      <c r="I275" s="28" t="n">
        <v>46283.8125</v>
      </c>
      <c r="J275" s="29" t="n">
        <v>80351.062497815</v>
      </c>
      <c r="K275" s="7" t="s">
        <v>69</v>
      </c>
      <c r="L275" s="30" t="n">
        <v>0.001</v>
      </c>
      <c r="M275" s="12" t="n">
        <f aca="false">L275*G275*Settings!$B$5</f>
        <v>7045.5008184</v>
      </c>
      <c r="N275" s="31" t="n">
        <f aca="false">(I275-F275)*24</f>
        <v>0</v>
      </c>
      <c r="O275" s="12" t="n">
        <v>25.3926814077196</v>
      </c>
      <c r="P275" s="12" t="n">
        <v>17.0789904420076</v>
      </c>
      <c r="Q275" s="12" t="n">
        <f aca="false">2*Calculator!$C$5*M275</f>
        <v>8.313690965712</v>
      </c>
      <c r="R275" s="12" t="n">
        <f aca="false">O275-P275-Q275</f>
        <v>0</v>
      </c>
      <c r="S275" s="12" t="n">
        <f aca="false">O275+2*Calculator!$C$6*M275</f>
        <v>28.2108817350796</v>
      </c>
      <c r="T275" s="12" t="n">
        <f aca="false">S275-2*Calculator!$B$6*M275</f>
        <v>25.3926814077196</v>
      </c>
      <c r="U275" s="12" t="n">
        <f aca="false">2*Calculator!$B$5*M275</f>
        <v>8.313690965712</v>
      </c>
      <c r="V275" s="12" t="n">
        <f aca="false">R275*Calculator!$B$7/Calculator!$C$7</f>
        <v>0</v>
      </c>
      <c r="W275" s="14" t="n">
        <f aca="false">T275-U275-V275</f>
        <v>17.0789904420076</v>
      </c>
      <c r="X275" s="7" t="str">
        <f aca="false">LEFT(A275,7)</f>
        <v>2026-09</v>
      </c>
    </row>
    <row r="276" customFormat="false" ht="15" hidden="false" customHeight="false" outlineLevel="0" collapsed="false">
      <c r="A276" s="7" t="s">
        <v>407</v>
      </c>
      <c r="B276" s="7" t="s">
        <v>205</v>
      </c>
      <c r="C276" s="7" t="s">
        <v>63</v>
      </c>
      <c r="D276" s="7" t="s">
        <v>60</v>
      </c>
      <c r="E276" s="7" t="s">
        <v>66</v>
      </c>
      <c r="F276" s="28" t="n">
        <v>46284.5625</v>
      </c>
      <c r="G276" s="29" t="n">
        <v>81093.31542</v>
      </c>
      <c r="H276" s="29" t="n">
        <v>80643.6631</v>
      </c>
      <c r="I276" s="28" t="n">
        <v>46284.5729166667</v>
      </c>
      <c r="J276" s="29" t="n">
        <v>81255.132642616</v>
      </c>
      <c r="K276" s="7" t="s">
        <v>69</v>
      </c>
      <c r="L276" s="30" t="n">
        <v>0.002</v>
      </c>
      <c r="M276" s="12" t="n">
        <f aca="false">L276*G276*Settings!$B$5</f>
        <v>14272.42351392</v>
      </c>
      <c r="N276" s="31" t="n">
        <f aca="false">(I276-F276)*24</f>
        <v>0.25</v>
      </c>
      <c r="O276" s="12" t="n">
        <v>32.593418378401</v>
      </c>
      <c r="P276" s="12" t="n">
        <v>15.7073573084944</v>
      </c>
      <c r="Q276" s="12" t="n">
        <f aca="false">2*Calculator!$C$5*M276</f>
        <v>16.8414597464256</v>
      </c>
      <c r="R276" s="12" t="n">
        <f aca="false">O276-P276-Q276</f>
        <v>0.0446013234810039</v>
      </c>
      <c r="S276" s="12" t="n">
        <f aca="false">O276+2*Calculator!$C$6*M276</f>
        <v>38.302387783969</v>
      </c>
      <c r="T276" s="12" t="n">
        <f aca="false">S276-2*Calculator!$B$6*M276</f>
        <v>32.593418378401</v>
      </c>
      <c r="U276" s="12" t="n">
        <f aca="false">2*Calculator!$B$5*M276</f>
        <v>16.8414597464256</v>
      </c>
      <c r="V276" s="12" t="n">
        <f aca="false">R276*Calculator!$B$7/Calculator!$C$7</f>
        <v>0.0446013234810039</v>
      </c>
      <c r="W276" s="14" t="n">
        <f aca="false">T276-U276-V276</f>
        <v>15.7073573084944</v>
      </c>
      <c r="X276" s="7" t="str">
        <f aca="false">LEFT(A276,7)</f>
        <v>2026-09</v>
      </c>
    </row>
    <row r="277" customFormat="false" ht="15" hidden="false" customHeight="false" outlineLevel="0" collapsed="false">
      <c r="A277" s="7" t="s">
        <v>407</v>
      </c>
      <c r="B277" s="7" t="s">
        <v>205</v>
      </c>
      <c r="C277" s="7" t="s">
        <v>64</v>
      </c>
      <c r="D277" s="7" t="s">
        <v>59</v>
      </c>
      <c r="E277" s="7" t="s">
        <v>66</v>
      </c>
      <c r="F277" s="28" t="n">
        <v>46284.8125</v>
      </c>
      <c r="G277" s="29" t="n">
        <v>81335.36382</v>
      </c>
      <c r="H277" s="29" t="n">
        <v>81127.9253</v>
      </c>
      <c r="I277" s="28" t="n">
        <v>46284.8333333333</v>
      </c>
      <c r="J277" s="29" t="n">
        <v>81481.240861926</v>
      </c>
      <c r="K277" s="7" t="s">
        <v>69</v>
      </c>
      <c r="L277" s="30" t="n">
        <v>0.005</v>
      </c>
      <c r="M277" s="12" t="n">
        <f aca="false">L277*G277*Settings!$B$5</f>
        <v>35787.5600808</v>
      </c>
      <c r="N277" s="31" t="n">
        <f aca="false">(I277-F277)*24</f>
        <v>0.5</v>
      </c>
      <c r="O277" s="12" t="n">
        <v>53.8994731040517</v>
      </c>
      <c r="P277" s="12" t="n">
        <v>11.4912144083037</v>
      </c>
      <c r="Q277" s="12" t="n">
        <f aca="false">2*Calculator!$C$5*M277</f>
        <v>42.229320895344</v>
      </c>
      <c r="R277" s="12" t="n">
        <f aca="false">O277-P277-Q277</f>
        <v>0.178937800404007</v>
      </c>
      <c r="S277" s="12" t="n">
        <f aca="false">O277+2*Calculator!$C$6*M277</f>
        <v>68.2144971363717</v>
      </c>
      <c r="T277" s="12" t="n">
        <f aca="false">S277-2*Calculator!$B$6*M277</f>
        <v>53.8994731040517</v>
      </c>
      <c r="U277" s="12" t="n">
        <f aca="false">2*Calculator!$B$5*M277</f>
        <v>42.229320895344</v>
      </c>
      <c r="V277" s="12" t="n">
        <f aca="false">R277*Calculator!$B$7/Calculator!$C$7</f>
        <v>0.178937800404007</v>
      </c>
      <c r="W277" s="14" t="n">
        <f aca="false">T277-U277-V277</f>
        <v>11.4912144083037</v>
      </c>
      <c r="X277" s="7" t="str">
        <f aca="false">LEFT(A277,7)</f>
        <v>2026-09</v>
      </c>
    </row>
    <row r="278" customFormat="false" ht="15" hidden="false" customHeight="false" outlineLevel="0" collapsed="false">
      <c r="A278" s="7" t="s">
        <v>408</v>
      </c>
      <c r="B278" s="7" t="s">
        <v>207</v>
      </c>
      <c r="C278" s="7" t="s">
        <v>63</v>
      </c>
      <c r="D278" s="7" t="s">
        <v>60</v>
      </c>
      <c r="E278" s="7" t="s">
        <v>67</v>
      </c>
      <c r="F278" s="28" t="n">
        <v>46285.5625</v>
      </c>
      <c r="G278" s="29" t="n">
        <v>80270.34272</v>
      </c>
      <c r="H278" s="29" t="n">
        <v>80730.56005</v>
      </c>
      <c r="I278" s="28" t="n">
        <v>46285.78125</v>
      </c>
      <c r="J278" s="29" t="n">
        <v>80541.30504</v>
      </c>
      <c r="K278" s="7" t="s">
        <v>71</v>
      </c>
      <c r="L278" s="30" t="n">
        <v>0.002</v>
      </c>
      <c r="M278" s="12" t="n">
        <f aca="false">L278*G278*Settings!$B$5</f>
        <v>14127.58031872</v>
      </c>
      <c r="N278" s="31" t="n">
        <f aca="false">(I278-F278)*24</f>
        <v>5.25</v>
      </c>
      <c r="O278" s="12" t="n">
        <v>-47.6893683199985</v>
      </c>
      <c r="P278" s="12" t="n">
        <v>-65.2870355545041</v>
      </c>
      <c r="Q278" s="12" t="n">
        <f aca="false">2*Calculator!$C$5*M278</f>
        <v>16.6705447760896</v>
      </c>
      <c r="R278" s="12" t="n">
        <f aca="false">O278-P278-Q278</f>
        <v>0.927122458416008</v>
      </c>
      <c r="S278" s="12" t="n">
        <f aca="false">O278+2*Calculator!$C$6*M278</f>
        <v>-42.0383361925105</v>
      </c>
      <c r="T278" s="12" t="n">
        <f aca="false">S278-2*Calculator!$B$6*M278</f>
        <v>-47.6893683199985</v>
      </c>
      <c r="U278" s="12" t="n">
        <f aca="false">2*Calculator!$B$5*M278</f>
        <v>16.6705447760896</v>
      </c>
      <c r="V278" s="12" t="n">
        <f aca="false">R278*Calculator!$B$7/Calculator!$C$7</f>
        <v>0.927122458416008</v>
      </c>
      <c r="W278" s="14" t="n">
        <f aca="false">T278-U278-V278</f>
        <v>-65.2870355545041</v>
      </c>
      <c r="X278" s="7" t="str">
        <f aca="false">LEFT(A278,7)</f>
        <v>2026-09</v>
      </c>
    </row>
    <row r="279" customFormat="false" ht="15" hidden="false" customHeight="false" outlineLevel="0" collapsed="false">
      <c r="A279" s="7" t="s">
        <v>408</v>
      </c>
      <c r="B279" s="7" t="s">
        <v>207</v>
      </c>
      <c r="C279" s="7" t="s">
        <v>64</v>
      </c>
      <c r="D279" s="7" t="s">
        <v>60</v>
      </c>
      <c r="E279" s="7" t="s">
        <v>67</v>
      </c>
      <c r="F279" s="28" t="n">
        <v>46285.8125</v>
      </c>
      <c r="G279" s="29" t="n">
        <v>80516.69344</v>
      </c>
      <c r="H279" s="29" t="n">
        <v>80895.90075</v>
      </c>
      <c r="I279" s="28" t="n">
        <v>46285.8541666667</v>
      </c>
      <c r="J279" s="29" t="n">
        <v>80912.07993015</v>
      </c>
      <c r="K279" s="7" t="s">
        <v>70</v>
      </c>
      <c r="L279" s="30" t="n">
        <v>0.002</v>
      </c>
      <c r="M279" s="12" t="n">
        <f aca="false">L279*G279*Settings!$B$5</f>
        <v>14170.93804544</v>
      </c>
      <c r="N279" s="31" t="n">
        <f aca="false">(I279-F279)*24</f>
        <v>1</v>
      </c>
      <c r="O279" s="12" t="n">
        <v>-69.5880222663984</v>
      </c>
      <c r="P279" s="12" t="n">
        <v>-86.4868658855856</v>
      </c>
      <c r="Q279" s="12" t="n">
        <f aca="false">2*Calculator!$C$5*M279</f>
        <v>16.7217068936192</v>
      </c>
      <c r="R279" s="12" t="n">
        <f aca="false">O279-P279-Q279</f>
        <v>0.177136725567991</v>
      </c>
      <c r="S279" s="12" t="n">
        <f aca="false">O279+2*Calculator!$C$6*M279</f>
        <v>-63.9196470482224</v>
      </c>
      <c r="T279" s="12" t="n">
        <f aca="false">S279-2*Calculator!$B$6*M279</f>
        <v>-69.5880222663984</v>
      </c>
      <c r="U279" s="12" t="n">
        <f aca="false">2*Calculator!$B$5*M279</f>
        <v>16.7217068936192</v>
      </c>
      <c r="V279" s="12" t="n">
        <f aca="false">R279*Calculator!$B$7/Calculator!$C$7</f>
        <v>0.177136725567991</v>
      </c>
      <c r="W279" s="14" t="n">
        <f aca="false">T279-U279-V279</f>
        <v>-86.4868658855856</v>
      </c>
      <c r="X279" s="7" t="str">
        <f aca="false">LEFT(A279,7)</f>
        <v>2026-09</v>
      </c>
    </row>
    <row r="280" customFormat="false" ht="15" hidden="false" customHeight="false" outlineLevel="0" collapsed="false">
      <c r="A280" s="7" t="s">
        <v>409</v>
      </c>
      <c r="B280" s="7" t="s">
        <v>199</v>
      </c>
      <c r="C280" s="7" t="s">
        <v>64</v>
      </c>
      <c r="D280" s="7" t="s">
        <v>60</v>
      </c>
      <c r="E280" s="7" t="s">
        <v>66</v>
      </c>
      <c r="F280" s="28" t="n">
        <v>46288.8125</v>
      </c>
      <c r="G280" s="29" t="n">
        <v>85772.151</v>
      </c>
      <c r="H280" s="29" t="n">
        <v>85095.5391</v>
      </c>
      <c r="I280" s="28" t="n">
        <v>46288.8125</v>
      </c>
      <c r="J280" s="29" t="n">
        <v>85078.51999218</v>
      </c>
      <c r="K280" s="7" t="s">
        <v>70</v>
      </c>
      <c r="L280" s="30" t="n">
        <v>0.001</v>
      </c>
      <c r="M280" s="12" t="n">
        <f aca="false">L280*G280*Settings!$B$5</f>
        <v>7547.949288</v>
      </c>
      <c r="N280" s="31" t="n">
        <f aca="false">(I280-F280)*24</f>
        <v>0</v>
      </c>
      <c r="O280" s="12" t="n">
        <v>-61.0395286881604</v>
      </c>
      <c r="P280" s="12" t="n">
        <v>-69.9461088480004</v>
      </c>
      <c r="Q280" s="12" t="n">
        <f aca="false">2*Calculator!$C$5*M280</f>
        <v>8.90658015984</v>
      </c>
      <c r="R280" s="12" t="n">
        <f aca="false">O280-P280-Q280</f>
        <v>0</v>
      </c>
      <c r="S280" s="12" t="n">
        <f aca="false">O280+2*Calculator!$C$6*M280</f>
        <v>-58.0203489729604</v>
      </c>
      <c r="T280" s="12" t="n">
        <f aca="false">S280-2*Calculator!$B$6*M280</f>
        <v>-61.0395286881603</v>
      </c>
      <c r="U280" s="12" t="n">
        <f aca="false">2*Calculator!$B$5*M280</f>
        <v>8.90658015984</v>
      </c>
      <c r="V280" s="12" t="n">
        <f aca="false">R280*Calculator!$B$7/Calculator!$C$7</f>
        <v>0</v>
      </c>
      <c r="W280" s="14" t="n">
        <f aca="false">T280-U280-V280</f>
        <v>-69.9461088480004</v>
      </c>
      <c r="X280" s="7" t="str">
        <f aca="false">LEFT(A280,7)</f>
        <v>2026-09</v>
      </c>
    </row>
    <row r="281" customFormat="false" ht="15" hidden="false" customHeight="false" outlineLevel="0" collapsed="false">
      <c r="A281" s="7" t="s">
        <v>410</v>
      </c>
      <c r="B281" s="7" t="s">
        <v>201</v>
      </c>
      <c r="C281" s="7" t="s">
        <v>63</v>
      </c>
      <c r="D281" s="7" t="s">
        <v>60</v>
      </c>
      <c r="E281" s="7" t="s">
        <v>66</v>
      </c>
      <c r="F281" s="28" t="n">
        <v>46289.5625</v>
      </c>
      <c r="G281" s="29" t="n">
        <v>84484.8936</v>
      </c>
      <c r="H281" s="29" t="n">
        <v>83951.9087</v>
      </c>
      <c r="I281" s="28" t="n">
        <v>46289.5729166667</v>
      </c>
      <c r="J281" s="29" t="n">
        <v>83935.11831826</v>
      </c>
      <c r="K281" s="7" t="s">
        <v>70</v>
      </c>
      <c r="L281" s="30" t="n">
        <v>0.002</v>
      </c>
      <c r="M281" s="12" t="n">
        <f aca="false">L281*G281*Settings!$B$5</f>
        <v>14869.3412736</v>
      </c>
      <c r="N281" s="31" t="n">
        <f aca="false">(I281-F281)*24</f>
        <v>0.25</v>
      </c>
      <c r="O281" s="12" t="n">
        <v>-96.760449586238</v>
      </c>
      <c r="P281" s="12" t="n">
        <v>-114.352738980566</v>
      </c>
      <c r="Q281" s="12" t="n">
        <f aca="false">2*Calculator!$C$5*M281</f>
        <v>17.545822702848</v>
      </c>
      <c r="R281" s="12" t="n">
        <f aca="false">O281-P281-Q281</f>
        <v>0.0464666914800063</v>
      </c>
      <c r="S281" s="12" t="n">
        <f aca="false">O281+2*Calculator!$C$6*M281</f>
        <v>-90.812713076798</v>
      </c>
      <c r="T281" s="12" t="n">
        <f aca="false">S281-2*Calculator!$B$6*M281</f>
        <v>-96.760449586238</v>
      </c>
      <c r="U281" s="12" t="n">
        <f aca="false">2*Calculator!$B$5*M281</f>
        <v>17.545822702848</v>
      </c>
      <c r="V281" s="12" t="n">
        <f aca="false">R281*Calculator!$B$7/Calculator!$C$7</f>
        <v>0.0464666914800063</v>
      </c>
      <c r="W281" s="14" t="n">
        <f aca="false">T281-U281-V281</f>
        <v>-114.352738980566</v>
      </c>
      <c r="X281" s="7" t="str">
        <f aca="false">LEFT(A281,7)</f>
        <v>2026-09</v>
      </c>
    </row>
    <row r="282" customFormat="false" ht="15" hidden="false" customHeight="false" outlineLevel="0" collapsed="false">
      <c r="A282" s="7" t="s">
        <v>411</v>
      </c>
      <c r="B282" s="7" t="s">
        <v>207</v>
      </c>
      <c r="C282" s="7" t="s">
        <v>63</v>
      </c>
      <c r="D282" s="7" t="s">
        <v>59</v>
      </c>
      <c r="E282" s="7" t="s">
        <v>66</v>
      </c>
      <c r="F282" s="28" t="n">
        <v>46292.5625</v>
      </c>
      <c r="G282" s="29" t="n">
        <v>84768.25026</v>
      </c>
      <c r="H282" s="29" t="n">
        <v>84461.118</v>
      </c>
      <c r="I282" s="28" t="n">
        <v>46292.65625</v>
      </c>
      <c r="J282" s="29" t="n">
        <v>84924.128711613</v>
      </c>
      <c r="K282" s="7" t="s">
        <v>69</v>
      </c>
      <c r="L282" s="30" t="n">
        <v>0.003</v>
      </c>
      <c r="M282" s="12" t="n">
        <f aca="false">L282*G282*Settings!$B$5</f>
        <v>22378.81806864</v>
      </c>
      <c r="N282" s="31" t="n">
        <f aca="false">(I282-F282)*24</f>
        <v>2.25</v>
      </c>
      <c r="O282" s="12" t="n">
        <v>39.453802955423</v>
      </c>
      <c r="P282" s="12" t="n">
        <v>12.4640159138903</v>
      </c>
      <c r="Q282" s="12" t="n">
        <f aca="false">2*Calculator!$C$5*M282</f>
        <v>26.4070053209952</v>
      </c>
      <c r="R282" s="12" t="n">
        <f aca="false">O282-P282-Q282</f>
        <v>0.582781720537483</v>
      </c>
      <c r="S282" s="12" t="n">
        <f aca="false">O282+2*Calculator!$C$6*M282</f>
        <v>48.405330182879</v>
      </c>
      <c r="T282" s="12" t="n">
        <f aca="false">S282-2*Calculator!$B$6*M282</f>
        <v>39.453802955423</v>
      </c>
      <c r="U282" s="12" t="n">
        <f aca="false">2*Calculator!$B$5*M282</f>
        <v>26.4070053209952</v>
      </c>
      <c r="V282" s="12" t="n">
        <f aca="false">R282*Calculator!$B$7/Calculator!$C$7</f>
        <v>0.582781720537483</v>
      </c>
      <c r="W282" s="14" t="n">
        <f aca="false">T282-U282-V282</f>
        <v>12.4640159138903</v>
      </c>
      <c r="X282" s="7" t="str">
        <f aca="false">LEFT(A282,7)</f>
        <v>2026-09</v>
      </c>
    </row>
    <row r="283" customFormat="false" ht="15" hidden="false" customHeight="false" outlineLevel="0" collapsed="false">
      <c r="A283" s="7" t="s">
        <v>411</v>
      </c>
      <c r="B283" s="7" t="s">
        <v>207</v>
      </c>
      <c r="C283" s="7" t="s">
        <v>64</v>
      </c>
      <c r="D283" s="7" t="s">
        <v>60</v>
      </c>
      <c r="E283" s="7" t="s">
        <v>66</v>
      </c>
      <c r="F283" s="28" t="n">
        <v>46292.8125</v>
      </c>
      <c r="G283" s="29" t="n">
        <v>85008.79836</v>
      </c>
      <c r="H283" s="29" t="n">
        <v>84360.16325</v>
      </c>
      <c r="I283" s="28" t="n">
        <v>46292.8541666667</v>
      </c>
      <c r="J283" s="29" t="n">
        <v>84343.29121735</v>
      </c>
      <c r="K283" s="7" t="s">
        <v>70</v>
      </c>
      <c r="L283" s="30" t="n">
        <v>0.001</v>
      </c>
      <c r="M283" s="12" t="n">
        <f aca="false">L283*G283*Settings!$B$5</f>
        <v>7480.77425568</v>
      </c>
      <c r="N283" s="31" t="n">
        <f aca="false">(I283-F283)*24</f>
        <v>1</v>
      </c>
      <c r="O283" s="12" t="n">
        <v>-58.5646285532006</v>
      </c>
      <c r="P283" s="12" t="n">
        <v>-67.485451853099</v>
      </c>
      <c r="Q283" s="12" t="n">
        <f aca="false">2*Calculator!$C$5*M283</f>
        <v>8.8273136217024</v>
      </c>
      <c r="R283" s="12" t="n">
        <f aca="false">O283-P283-Q283</f>
        <v>0.0935096781959945</v>
      </c>
      <c r="S283" s="12" t="n">
        <f aca="false">O283+2*Calculator!$C$6*M283</f>
        <v>-55.5723188509286</v>
      </c>
      <c r="T283" s="12" t="n">
        <f aca="false">S283-2*Calculator!$B$6*M283</f>
        <v>-58.5646285532006</v>
      </c>
      <c r="U283" s="12" t="n">
        <f aca="false">2*Calculator!$B$5*M283</f>
        <v>8.8273136217024</v>
      </c>
      <c r="V283" s="12" t="n">
        <f aca="false">R283*Calculator!$B$7/Calculator!$C$7</f>
        <v>0.0935096781959945</v>
      </c>
      <c r="W283" s="14" t="n">
        <f aca="false">T283-U283-V283</f>
        <v>-67.485451853099</v>
      </c>
      <c r="X283" s="7" t="str">
        <f aca="false">LEFT(A283,7)</f>
        <v>2026-09</v>
      </c>
    </row>
    <row r="284" customFormat="false" ht="15" hidden="false" customHeight="false" outlineLevel="0" collapsed="false">
      <c r="A284" s="7" t="s">
        <v>412</v>
      </c>
      <c r="B284" s="7" t="s">
        <v>213</v>
      </c>
      <c r="C284" s="7" t="s">
        <v>63</v>
      </c>
      <c r="D284" s="7" t="s">
        <v>60</v>
      </c>
      <c r="E284" s="7" t="s">
        <v>67</v>
      </c>
      <c r="F284" s="28" t="n">
        <v>46293.5625</v>
      </c>
      <c r="G284" s="29" t="n">
        <v>82897.81712</v>
      </c>
      <c r="H284" s="29" t="n">
        <v>83391.9828</v>
      </c>
      <c r="I284" s="28" t="n">
        <v>46293.6041666667</v>
      </c>
      <c r="J284" s="29" t="n">
        <v>82691.676448284</v>
      </c>
      <c r="K284" s="7" t="s">
        <v>69</v>
      </c>
      <c r="L284" s="30" t="n">
        <v>0.002</v>
      </c>
      <c r="M284" s="12" t="n">
        <f aca="false">L284*G284*Settings!$B$5</f>
        <v>14590.01581312</v>
      </c>
      <c r="N284" s="31" t="n">
        <f aca="false">(I284-F284)*24</f>
        <v>1</v>
      </c>
      <c r="O284" s="12" t="n">
        <v>38.4290161076796</v>
      </c>
      <c r="P284" s="12" t="n">
        <v>21.030422250534</v>
      </c>
      <c r="Q284" s="12" t="n">
        <f aca="false">2*Calculator!$C$5*M284</f>
        <v>17.2162186594816</v>
      </c>
      <c r="R284" s="12" t="n">
        <f aca="false">O284-P284-Q284</f>
        <v>0.182375197663998</v>
      </c>
      <c r="S284" s="12" t="n">
        <f aca="false">O284+2*Calculator!$C$6*M284</f>
        <v>44.2650224329276</v>
      </c>
      <c r="T284" s="12" t="n">
        <f aca="false">S284-2*Calculator!$B$6*M284</f>
        <v>38.4290161076796</v>
      </c>
      <c r="U284" s="12" t="n">
        <f aca="false">2*Calculator!$B$5*M284</f>
        <v>17.2162186594816</v>
      </c>
      <c r="V284" s="12" t="n">
        <f aca="false">R284*Calculator!$B$7/Calculator!$C$7</f>
        <v>0.182375197663998</v>
      </c>
      <c r="W284" s="14" t="n">
        <f aca="false">T284-U284-V284</f>
        <v>21.030422250534</v>
      </c>
      <c r="X284" s="7" t="str">
        <f aca="false">LEFT(A284,7)</f>
        <v>2026-09</v>
      </c>
    </row>
    <row r="285" customFormat="false" ht="15" hidden="false" customHeight="false" outlineLevel="0" collapsed="false">
      <c r="A285" s="7" t="s">
        <v>412</v>
      </c>
      <c r="B285" s="7" t="s">
        <v>213</v>
      </c>
      <c r="C285" s="7" t="s">
        <v>64</v>
      </c>
      <c r="D285" s="7" t="s">
        <v>60</v>
      </c>
      <c r="E285" s="7" t="s">
        <v>67</v>
      </c>
      <c r="F285" s="28" t="n">
        <v>46293.8125</v>
      </c>
      <c r="G285" s="29" t="n">
        <v>83592.37818</v>
      </c>
      <c r="H285" s="29" t="n">
        <v>84170.6712</v>
      </c>
      <c r="I285" s="28" t="n">
        <v>46293.8229166667</v>
      </c>
      <c r="J285" s="29" t="n">
        <v>83444.858889651</v>
      </c>
      <c r="K285" s="7" t="s">
        <v>69</v>
      </c>
      <c r="L285" s="30" t="n">
        <v>0.001</v>
      </c>
      <c r="M285" s="12" t="n">
        <f aca="false">L285*G285*Settings!$B$5</f>
        <v>7356.12927984</v>
      </c>
      <c r="N285" s="31" t="n">
        <f aca="false">(I285-F285)*24</f>
        <v>0.25</v>
      </c>
      <c r="O285" s="12" t="n">
        <v>12.9816975507129</v>
      </c>
      <c r="P285" s="12" t="n">
        <v>4.27847709650215</v>
      </c>
      <c r="Q285" s="12" t="n">
        <f aca="false">2*Calculator!$C$5*M285</f>
        <v>8.6802325502112</v>
      </c>
      <c r="R285" s="12" t="n">
        <f aca="false">O285-P285-Q285</f>
        <v>0.0229879039994998</v>
      </c>
      <c r="S285" s="12" t="n">
        <f aca="false">O285+2*Calculator!$C$6*M285</f>
        <v>15.9241492626489</v>
      </c>
      <c r="T285" s="12" t="n">
        <f aca="false">S285-2*Calculator!$B$6*M285</f>
        <v>12.9816975507129</v>
      </c>
      <c r="U285" s="12" t="n">
        <f aca="false">2*Calculator!$B$5*M285</f>
        <v>8.6802325502112</v>
      </c>
      <c r="V285" s="12" t="n">
        <f aca="false">R285*Calculator!$B$7/Calculator!$C$7</f>
        <v>0.0229879039994998</v>
      </c>
      <c r="W285" s="14" t="n">
        <f aca="false">T285-U285-V285</f>
        <v>4.27847709650215</v>
      </c>
      <c r="X285" s="7" t="str">
        <f aca="false">LEFT(A285,7)</f>
        <v>2026-09</v>
      </c>
    </row>
    <row r="286" customFormat="false" ht="15" hidden="false" customHeight="false" outlineLevel="0" collapsed="false">
      <c r="A286" s="7" t="s">
        <v>413</v>
      </c>
      <c r="B286" s="7" t="s">
        <v>209</v>
      </c>
      <c r="C286" s="7" t="s">
        <v>64</v>
      </c>
      <c r="D286" s="7" t="s">
        <v>60</v>
      </c>
      <c r="E286" s="7" t="s">
        <v>67</v>
      </c>
      <c r="F286" s="28" t="n">
        <v>46294.8125</v>
      </c>
      <c r="G286" s="29" t="n">
        <v>84140.6685</v>
      </c>
      <c r="H286" s="29" t="n">
        <v>84696.32605</v>
      </c>
      <c r="I286" s="28" t="n">
        <v>46294.8229166667</v>
      </c>
      <c r="J286" s="29" t="n">
        <v>83986.9084103775</v>
      </c>
      <c r="K286" s="7" t="s">
        <v>69</v>
      </c>
      <c r="L286" s="30" t="n">
        <v>0.002</v>
      </c>
      <c r="M286" s="12" t="n">
        <f aca="false">L286*G286*Settings!$B$5</f>
        <v>14808.757656</v>
      </c>
      <c r="N286" s="31" t="n">
        <f aca="false">(I286-F286)*24</f>
        <v>0.25</v>
      </c>
      <c r="O286" s="12" t="n">
        <v>36.5038341076211</v>
      </c>
      <c r="P286" s="12" t="n">
        <v>19.0063613897036</v>
      </c>
      <c r="Q286" s="12" t="n">
        <f aca="false">2*Calculator!$C$5*M286</f>
        <v>17.47433403408</v>
      </c>
      <c r="R286" s="12" t="n">
        <f aca="false">O286-P286-Q286</f>
        <v>0.0231386838374981</v>
      </c>
      <c r="S286" s="12" t="n">
        <f aca="false">O286+2*Calculator!$C$6*M286</f>
        <v>42.4273371700211</v>
      </c>
      <c r="T286" s="12" t="n">
        <f aca="false">S286-2*Calculator!$B$6*M286</f>
        <v>36.5038341076211</v>
      </c>
      <c r="U286" s="12" t="n">
        <f aca="false">2*Calculator!$B$5*M286</f>
        <v>17.47433403408</v>
      </c>
      <c r="V286" s="12" t="n">
        <f aca="false">R286*Calculator!$B$7/Calculator!$C$7</f>
        <v>0.0231386838374981</v>
      </c>
      <c r="W286" s="14" t="n">
        <f aca="false">T286-U286-V286</f>
        <v>19.0063613897036</v>
      </c>
      <c r="X286" s="7" t="str">
        <f aca="false">LEFT(A286,7)</f>
        <v>2026-09</v>
      </c>
    </row>
    <row r="287" customFormat="false" ht="15" hidden="false" customHeight="false" outlineLevel="0" collapsed="false">
      <c r="A287" s="7" t="s">
        <v>414</v>
      </c>
      <c r="B287" s="7" t="s">
        <v>199</v>
      </c>
      <c r="C287" s="7" t="s">
        <v>63</v>
      </c>
      <c r="D287" s="7" t="s">
        <v>60</v>
      </c>
      <c r="E287" s="7" t="s">
        <v>67</v>
      </c>
      <c r="F287" s="28" t="n">
        <v>46295.5625</v>
      </c>
      <c r="G287" s="29" t="n">
        <v>83242.04826</v>
      </c>
      <c r="H287" s="29" t="n">
        <v>83771.38245</v>
      </c>
      <c r="I287" s="28" t="n">
        <v>46295.625</v>
      </c>
      <c r="J287" s="29" t="n">
        <v>83788.13672649</v>
      </c>
      <c r="K287" s="7" t="s">
        <v>70</v>
      </c>
      <c r="L287" s="30" t="n">
        <v>0.002</v>
      </c>
      <c r="M287" s="12" t="n">
        <f aca="false">L287*G287*Settings!$B$5</f>
        <v>14650.60049376</v>
      </c>
      <c r="N287" s="31" t="n">
        <f aca="false">(I287-F287)*24</f>
        <v>1.5</v>
      </c>
      <c r="O287" s="12" t="n">
        <v>-96.1115701022414</v>
      </c>
      <c r="P287" s="12" t="n">
        <v>-113.673977444136</v>
      </c>
      <c r="Q287" s="12" t="n">
        <f aca="false">2*Calculator!$C$5*M287</f>
        <v>17.2877085826368</v>
      </c>
      <c r="R287" s="12" t="n">
        <f aca="false">O287-P287-Q287</f>
        <v>0.274698759258037</v>
      </c>
      <c r="S287" s="12" t="n">
        <f aca="false">O287+2*Calculator!$C$6*M287</f>
        <v>-90.2513299047374</v>
      </c>
      <c r="T287" s="12" t="n">
        <f aca="false">S287-2*Calculator!$B$6*M287</f>
        <v>-96.1115701022414</v>
      </c>
      <c r="U287" s="12" t="n">
        <f aca="false">2*Calculator!$B$5*M287</f>
        <v>17.2877085826368</v>
      </c>
      <c r="V287" s="12" t="n">
        <f aca="false">R287*Calculator!$B$7/Calculator!$C$7</f>
        <v>0.274698759258037</v>
      </c>
      <c r="W287" s="14" t="n">
        <f aca="false">T287-U287-V287</f>
        <v>-113.673977444136</v>
      </c>
      <c r="X287" s="7" t="str">
        <f aca="false">LEFT(A287,7)</f>
        <v>2026-09</v>
      </c>
    </row>
    <row r="288" customFormat="false" ht="15" hidden="false" customHeight="false" outlineLevel="0" collapsed="false">
      <c r="A288" s="7" t="s">
        <v>415</v>
      </c>
      <c r="B288" s="7" t="s">
        <v>201</v>
      </c>
      <c r="C288" s="7" t="s">
        <v>63</v>
      </c>
      <c r="D288" s="7" t="s">
        <v>60</v>
      </c>
      <c r="E288" s="7" t="s">
        <v>66</v>
      </c>
      <c r="F288" s="28" t="n">
        <v>46296.5833333333</v>
      </c>
      <c r="G288" s="29" t="n">
        <v>83398.47636</v>
      </c>
      <c r="H288" s="29" t="n">
        <v>82930.1275</v>
      </c>
      <c r="I288" s="28" t="n">
        <v>46296.6354166667</v>
      </c>
      <c r="J288" s="29" t="n">
        <v>83718.965642443</v>
      </c>
      <c r="K288" s="7" t="s">
        <v>69</v>
      </c>
      <c r="L288" s="30" t="n">
        <v>0.002</v>
      </c>
      <c r="M288" s="12" t="n">
        <f aca="false">L288*G288*Settings!$B$5</f>
        <v>14678.13183936</v>
      </c>
      <c r="N288" s="31" t="n">
        <f aca="false">(I288-F288)*24</f>
        <v>1.24999999953417</v>
      </c>
      <c r="O288" s="12" t="n">
        <v>47.3384720410807</v>
      </c>
      <c r="P288" s="12" t="n">
        <v>29.8577344036429</v>
      </c>
      <c r="Q288" s="12" t="n">
        <f aca="false">2*Calculator!$C$5*M288</f>
        <v>17.3201955704448</v>
      </c>
      <c r="R288" s="12" t="n">
        <f aca="false">O288-P288-Q288</f>
        <v>0.160542066992999</v>
      </c>
      <c r="S288" s="12" t="n">
        <f aca="false">O288+2*Calculator!$C$6*M288</f>
        <v>53.2097247768247</v>
      </c>
      <c r="T288" s="12" t="n">
        <f aca="false">S288-2*Calculator!$B$6*M288</f>
        <v>47.3384720410807</v>
      </c>
      <c r="U288" s="12" t="n">
        <f aca="false">2*Calculator!$B$5*M288</f>
        <v>17.3201955704448</v>
      </c>
      <c r="V288" s="12" t="n">
        <f aca="false">R288*Calculator!$B$7/Calculator!$C$7</f>
        <v>0.160542066992999</v>
      </c>
      <c r="W288" s="14" t="n">
        <f aca="false">T288-U288-V288</f>
        <v>29.8577344036429</v>
      </c>
      <c r="X288" s="7" t="str">
        <f aca="false">LEFT(A288,7)</f>
        <v>2026-10</v>
      </c>
    </row>
    <row r="289" customFormat="false" ht="15" hidden="false" customHeight="false" outlineLevel="0" collapsed="false">
      <c r="A289" s="7" t="s">
        <v>415</v>
      </c>
      <c r="B289" s="7" t="s">
        <v>201</v>
      </c>
      <c r="C289" s="7" t="s">
        <v>64</v>
      </c>
      <c r="D289" s="7" t="s">
        <v>60</v>
      </c>
      <c r="E289" s="7" t="s">
        <v>67</v>
      </c>
      <c r="F289" s="28" t="n">
        <v>46296.8125</v>
      </c>
      <c r="G289" s="29" t="n">
        <v>83884.51974</v>
      </c>
      <c r="H289" s="29" t="n">
        <v>84321.44665</v>
      </c>
      <c r="I289" s="28" t="n">
        <v>46296.8125</v>
      </c>
      <c r="J289" s="29" t="n">
        <v>83641.1566138455</v>
      </c>
      <c r="K289" s="7" t="s">
        <v>69</v>
      </c>
      <c r="L289" s="30" t="n">
        <v>0.002</v>
      </c>
      <c r="M289" s="12" t="n">
        <f aca="false">L289*G289*Settings!$B$5</f>
        <v>14763.67547424</v>
      </c>
      <c r="N289" s="31" t="n">
        <f aca="false">(I289-F289)*24</f>
        <v>0</v>
      </c>
      <c r="O289" s="12" t="n">
        <v>39.1682165509812</v>
      </c>
      <c r="P289" s="12" t="n">
        <v>21.747079491378</v>
      </c>
      <c r="Q289" s="12" t="n">
        <f aca="false">2*Calculator!$C$5*M289</f>
        <v>17.4211370596032</v>
      </c>
      <c r="R289" s="12" t="n">
        <f aca="false">O289-P289-Q289</f>
        <v>0</v>
      </c>
      <c r="S289" s="12" t="n">
        <f aca="false">O289+2*Calculator!$C$6*M289</f>
        <v>45.0736867406772</v>
      </c>
      <c r="T289" s="12" t="n">
        <f aca="false">S289-2*Calculator!$B$6*M289</f>
        <v>39.1682165509812</v>
      </c>
      <c r="U289" s="12" t="n">
        <f aca="false">2*Calculator!$B$5*M289</f>
        <v>17.4211370596032</v>
      </c>
      <c r="V289" s="12" t="n">
        <f aca="false">R289*Calculator!$B$7/Calculator!$C$7</f>
        <v>0</v>
      </c>
      <c r="W289" s="14" t="n">
        <f aca="false">T289-U289-V289</f>
        <v>21.747079491378</v>
      </c>
      <c r="X289" s="7" t="str">
        <f aca="false">LEFT(A289,7)</f>
        <v>2026-10</v>
      </c>
    </row>
    <row r="290" customFormat="false" ht="15" hidden="false" customHeight="false" outlineLevel="0" collapsed="false">
      <c r="A290" s="7" t="s">
        <v>416</v>
      </c>
      <c r="B290" s="7" t="s">
        <v>207</v>
      </c>
      <c r="C290" s="7" t="s">
        <v>63</v>
      </c>
      <c r="D290" s="7" t="s">
        <v>59</v>
      </c>
      <c r="E290" s="7" t="s">
        <v>66</v>
      </c>
      <c r="F290" s="28" t="n">
        <v>46299.5625</v>
      </c>
      <c r="G290" s="29" t="n">
        <v>85087.014</v>
      </c>
      <c r="H290" s="29" t="n">
        <v>84803.30395</v>
      </c>
      <c r="I290" s="28" t="n">
        <v>46299.625</v>
      </c>
      <c r="J290" s="29" t="n">
        <v>85156.0378730025</v>
      </c>
      <c r="K290" s="7" t="s">
        <v>69</v>
      </c>
      <c r="L290" s="30" t="n">
        <v>0.004</v>
      </c>
      <c r="M290" s="12" t="n">
        <f aca="false">L290*G290*Settings!$B$5</f>
        <v>29950.628928</v>
      </c>
      <c r="N290" s="31" t="n">
        <f aca="false">(I290-F290)*24</f>
        <v>1.5</v>
      </c>
      <c r="O290" s="12" t="n">
        <v>34.1146298587592</v>
      </c>
      <c r="P290" s="12" t="n">
        <v>-1.74188871098077</v>
      </c>
      <c r="Q290" s="12" t="n">
        <f aca="false">2*Calculator!$C$5*M290</f>
        <v>35.34174213504</v>
      </c>
      <c r="R290" s="12" t="n">
        <f aca="false">O290-P290-Q290</f>
        <v>0.514776434700003</v>
      </c>
      <c r="S290" s="12" t="n">
        <f aca="false">O290+2*Calculator!$C$6*M290</f>
        <v>46.0948814299592</v>
      </c>
      <c r="T290" s="12" t="n">
        <f aca="false">S290-2*Calculator!$B$6*M290</f>
        <v>34.1146298587592</v>
      </c>
      <c r="U290" s="12" t="n">
        <f aca="false">2*Calculator!$B$5*M290</f>
        <v>35.34174213504</v>
      </c>
      <c r="V290" s="12" t="n">
        <f aca="false">R290*Calculator!$B$7/Calculator!$C$7</f>
        <v>0.514776434700003</v>
      </c>
      <c r="W290" s="14" t="n">
        <f aca="false">T290-U290-V290</f>
        <v>-1.74188871098077</v>
      </c>
      <c r="X290" s="7" t="str">
        <f aca="false">LEFT(A290,7)</f>
        <v>2026-10</v>
      </c>
    </row>
    <row r="291" customFormat="false" ht="15" hidden="false" customHeight="false" outlineLevel="0" collapsed="false">
      <c r="A291" s="7" t="s">
        <v>416</v>
      </c>
      <c r="B291" s="7" t="s">
        <v>207</v>
      </c>
      <c r="C291" s="7" t="s">
        <v>64</v>
      </c>
      <c r="D291" s="7" t="s">
        <v>60</v>
      </c>
      <c r="E291" s="7" t="s">
        <v>67</v>
      </c>
      <c r="F291" s="28" t="n">
        <v>46299.8125</v>
      </c>
      <c r="G291" s="29" t="n">
        <v>85178.16096</v>
      </c>
      <c r="H291" s="29" t="n">
        <v>85669.787</v>
      </c>
      <c r="I291" s="28" t="n">
        <v>46300.0520833333</v>
      </c>
      <c r="J291" s="29" t="n">
        <v>85416.97998</v>
      </c>
      <c r="K291" s="7" t="s">
        <v>71</v>
      </c>
      <c r="L291" s="30" t="n">
        <v>0.002</v>
      </c>
      <c r="M291" s="12" t="n">
        <f aca="false">L291*G291*Settings!$B$5</f>
        <v>14991.35632896</v>
      </c>
      <c r="N291" s="31" t="n">
        <f aca="false">(I291-F291)*24</f>
        <v>5.75</v>
      </c>
      <c r="O291" s="12" t="n">
        <v>-42.0321475199992</v>
      </c>
      <c r="P291" s="12" t="n">
        <v>-60.799451724316</v>
      </c>
      <c r="Q291" s="12" t="n">
        <f aca="false">2*Calculator!$C$5*M291</f>
        <v>17.6898004681728</v>
      </c>
      <c r="R291" s="12" t="n">
        <f aca="false">O291-P291-Q291</f>
        <v>1.077503736144</v>
      </c>
      <c r="S291" s="12" t="n">
        <f aca="false">O291+2*Calculator!$C$6*M291</f>
        <v>-36.0356049884152</v>
      </c>
      <c r="T291" s="12" t="n">
        <f aca="false">S291-2*Calculator!$B$6*M291</f>
        <v>-42.0321475199992</v>
      </c>
      <c r="U291" s="12" t="n">
        <f aca="false">2*Calculator!$B$5*M291</f>
        <v>17.6898004681728</v>
      </c>
      <c r="V291" s="12" t="n">
        <f aca="false">R291*Calculator!$B$7/Calculator!$C$7</f>
        <v>1.077503736144</v>
      </c>
      <c r="W291" s="14" t="n">
        <f aca="false">T291-U291-V291</f>
        <v>-60.799451724316</v>
      </c>
      <c r="X291" s="7" t="str">
        <f aca="false">LEFT(A291,7)</f>
        <v>2026-10</v>
      </c>
    </row>
    <row r="292" customFormat="false" ht="15" hidden="false" customHeight="false" outlineLevel="0" collapsed="false">
      <c r="A292" s="7" t="s">
        <v>417</v>
      </c>
      <c r="B292" s="7" t="s">
        <v>213</v>
      </c>
      <c r="C292" s="7" t="s">
        <v>63</v>
      </c>
      <c r="D292" s="7" t="s">
        <v>60</v>
      </c>
      <c r="E292" s="7" t="s">
        <v>67</v>
      </c>
      <c r="F292" s="28" t="n">
        <v>46300.5625</v>
      </c>
      <c r="G292" s="29" t="n">
        <v>86204.45566</v>
      </c>
      <c r="H292" s="29" t="n">
        <v>86765.2947</v>
      </c>
      <c r="I292" s="28" t="n">
        <v>46300.625</v>
      </c>
      <c r="J292" s="29" t="n">
        <v>85865.679461952</v>
      </c>
      <c r="K292" s="7" t="s">
        <v>69</v>
      </c>
      <c r="L292" s="30" t="n">
        <v>0.002</v>
      </c>
      <c r="M292" s="12" t="n">
        <f aca="false">L292*G292*Settings!$B$5</f>
        <v>15171.98419616</v>
      </c>
      <c r="N292" s="31" t="n">
        <f aca="false">(I292-F292)*24</f>
        <v>1.5</v>
      </c>
      <c r="O292" s="12" t="n">
        <v>52.9769601521611</v>
      </c>
      <c r="P292" s="12" t="n">
        <v>34.8369565476273</v>
      </c>
      <c r="Q292" s="12" t="n">
        <f aca="false">2*Calculator!$C$5*M292</f>
        <v>17.9029413514688</v>
      </c>
      <c r="R292" s="12" t="n">
        <f aca="false">O292-P292-Q292</f>
        <v>0.237062253065009</v>
      </c>
      <c r="S292" s="12" t="n">
        <f aca="false">O292+2*Calculator!$C$6*M292</f>
        <v>59.0457538306251</v>
      </c>
      <c r="T292" s="12" t="n">
        <f aca="false">S292-2*Calculator!$B$6*M292</f>
        <v>52.9769601521611</v>
      </c>
      <c r="U292" s="12" t="n">
        <f aca="false">2*Calculator!$B$5*M292</f>
        <v>17.9029413514688</v>
      </c>
      <c r="V292" s="12" t="n">
        <f aca="false">R292*Calculator!$B$7/Calculator!$C$7</f>
        <v>0.237062253065009</v>
      </c>
      <c r="W292" s="14" t="n">
        <f aca="false">T292-U292-V292</f>
        <v>34.8369565476273</v>
      </c>
      <c r="X292" s="7" t="str">
        <f aca="false">LEFT(A292,7)</f>
        <v>2026-10</v>
      </c>
    </row>
    <row r="293" customFormat="false" ht="15" hidden="false" customHeight="false" outlineLevel="0" collapsed="false">
      <c r="A293" s="7" t="s">
        <v>418</v>
      </c>
      <c r="B293" s="7" t="s">
        <v>209</v>
      </c>
      <c r="C293" s="7" t="s">
        <v>63</v>
      </c>
      <c r="D293" s="7" t="s">
        <v>59</v>
      </c>
      <c r="E293" s="7" t="s">
        <v>66</v>
      </c>
      <c r="F293" s="28" t="n">
        <v>46301.5625</v>
      </c>
      <c r="G293" s="29" t="n">
        <v>85529.40246</v>
      </c>
      <c r="H293" s="29" t="n">
        <v>85337.10205</v>
      </c>
      <c r="I293" s="28" t="n">
        <v>46301.5625</v>
      </c>
      <c r="J293" s="29" t="n">
        <v>85911.6391325205</v>
      </c>
      <c r="K293" s="7" t="s">
        <v>69</v>
      </c>
      <c r="L293" s="30" t="n">
        <v>0.005</v>
      </c>
      <c r="M293" s="12" t="n">
        <f aca="false">L293*G293*Settings!$B$5</f>
        <v>37632.9370824</v>
      </c>
      <c r="N293" s="31" t="n">
        <f aca="false">(I293-F293)*24</f>
        <v>0</v>
      </c>
      <c r="O293" s="12" t="n">
        <v>114.818898171601</v>
      </c>
      <c r="P293" s="12" t="n">
        <v>70.4120324143694</v>
      </c>
      <c r="Q293" s="12" t="n">
        <f aca="false">2*Calculator!$C$5*M293</f>
        <v>44.406865757232</v>
      </c>
      <c r="R293" s="12" t="n">
        <f aca="false">O293-P293-Q293</f>
        <v>0</v>
      </c>
      <c r="S293" s="12" t="n">
        <f aca="false">O293+2*Calculator!$C$6*M293</f>
        <v>129.872073004561</v>
      </c>
      <c r="T293" s="12" t="n">
        <f aca="false">S293-2*Calculator!$B$6*M293</f>
        <v>114.818898171601</v>
      </c>
      <c r="U293" s="12" t="n">
        <f aca="false">2*Calculator!$B$5*M293</f>
        <v>44.406865757232</v>
      </c>
      <c r="V293" s="12" t="n">
        <f aca="false">R293*Calculator!$B$7/Calculator!$C$7</f>
        <v>0</v>
      </c>
      <c r="W293" s="14" t="n">
        <f aca="false">T293-U293-V293</f>
        <v>70.4120324143694</v>
      </c>
      <c r="X293" s="7" t="str">
        <f aca="false">LEFT(A293,7)</f>
        <v>2026-10</v>
      </c>
    </row>
    <row r="294" customFormat="false" ht="15" hidden="false" customHeight="false" outlineLevel="0" collapsed="false">
      <c r="A294" s="7" t="s">
        <v>418</v>
      </c>
      <c r="B294" s="7" t="s">
        <v>209</v>
      </c>
      <c r="C294" s="7" t="s">
        <v>64</v>
      </c>
      <c r="D294" s="7" t="s">
        <v>60</v>
      </c>
      <c r="E294" s="7" t="s">
        <v>67</v>
      </c>
      <c r="F294" s="28" t="n">
        <v>46301.8125</v>
      </c>
      <c r="G294" s="29" t="n">
        <v>86257.14512</v>
      </c>
      <c r="H294" s="29" t="n">
        <v>86805.17335</v>
      </c>
      <c r="I294" s="28" t="n">
        <v>46301.8333333333</v>
      </c>
      <c r="J294" s="29" t="n">
        <v>86063.0162189115</v>
      </c>
      <c r="K294" s="7" t="s">
        <v>69</v>
      </c>
      <c r="L294" s="30" t="n">
        <v>0.002</v>
      </c>
      <c r="M294" s="12" t="n">
        <f aca="false">L294*G294*Settings!$B$5</f>
        <v>15181.25754112</v>
      </c>
      <c r="N294" s="31" t="n">
        <f aca="false">(I294-F294)*24</f>
        <v>0.5</v>
      </c>
      <c r="O294" s="12" t="n">
        <v>39.6832823100997</v>
      </c>
      <c r="P294" s="12" t="n">
        <v>21.6982362668541</v>
      </c>
      <c r="Q294" s="12" t="n">
        <f aca="false">2*Calculator!$C$5*M294</f>
        <v>17.9138838985216</v>
      </c>
      <c r="R294" s="12" t="n">
        <f aca="false">O294-P294-Q294</f>
        <v>0.0711621447240063</v>
      </c>
      <c r="S294" s="12" t="n">
        <f aca="false">O294+2*Calculator!$C$6*M294</f>
        <v>45.7557853265477</v>
      </c>
      <c r="T294" s="12" t="n">
        <f aca="false">S294-2*Calculator!$B$6*M294</f>
        <v>39.6832823100997</v>
      </c>
      <c r="U294" s="12" t="n">
        <f aca="false">2*Calculator!$B$5*M294</f>
        <v>17.9138838985216</v>
      </c>
      <c r="V294" s="12" t="n">
        <f aca="false">R294*Calculator!$B$7/Calculator!$C$7</f>
        <v>0.0711621447240063</v>
      </c>
      <c r="W294" s="14" t="n">
        <f aca="false">T294-U294-V294</f>
        <v>21.6982362668541</v>
      </c>
      <c r="X294" s="7" t="str">
        <f aca="false">LEFT(A294,7)</f>
        <v>2026-10</v>
      </c>
    </row>
    <row r="295" customFormat="false" ht="15" hidden="false" customHeight="false" outlineLevel="0" collapsed="false">
      <c r="A295" s="7" t="s">
        <v>419</v>
      </c>
      <c r="B295" s="7" t="s">
        <v>199</v>
      </c>
      <c r="C295" s="7" t="s">
        <v>64</v>
      </c>
      <c r="D295" s="7" t="s">
        <v>60</v>
      </c>
      <c r="E295" s="7" t="s">
        <v>66</v>
      </c>
      <c r="F295" s="28" t="n">
        <v>46302.8125</v>
      </c>
      <c r="G295" s="29" t="n">
        <v>83161.629</v>
      </c>
      <c r="H295" s="29" t="n">
        <v>82664.42855</v>
      </c>
      <c r="I295" s="28" t="n">
        <v>46302.90625</v>
      </c>
      <c r="J295" s="29" t="n">
        <v>83435.5094475225</v>
      </c>
      <c r="K295" s="7" t="s">
        <v>69</v>
      </c>
      <c r="L295" s="30" t="n">
        <v>0.002</v>
      </c>
      <c r="M295" s="12" t="n">
        <f aca="false">L295*G295*Settings!$B$5</f>
        <v>14636.446704</v>
      </c>
      <c r="N295" s="31" t="n">
        <f aca="false">(I295-F295)*24</f>
        <v>2.25</v>
      </c>
      <c r="O295" s="12" t="n">
        <v>44.5102791476197</v>
      </c>
      <c r="P295" s="12" t="n">
        <v>26.8733608692997</v>
      </c>
      <c r="Q295" s="12" t="n">
        <f aca="false">2*Calculator!$C$5*M295</f>
        <v>17.27100711072</v>
      </c>
      <c r="R295" s="12" t="n">
        <f aca="false">O295-P295-Q295</f>
        <v>0.365911167599993</v>
      </c>
      <c r="S295" s="12" t="n">
        <f aca="false">O295+2*Calculator!$C$6*M295</f>
        <v>50.3648578292197</v>
      </c>
      <c r="T295" s="12" t="n">
        <f aca="false">S295-2*Calculator!$B$6*M295</f>
        <v>44.5102791476197</v>
      </c>
      <c r="U295" s="12" t="n">
        <f aca="false">2*Calculator!$B$5*M295</f>
        <v>17.27100711072</v>
      </c>
      <c r="V295" s="12" t="n">
        <f aca="false">R295*Calculator!$B$7/Calculator!$C$7</f>
        <v>0.365911167599993</v>
      </c>
      <c r="W295" s="14" t="n">
        <f aca="false">T295-U295-V295</f>
        <v>26.8733608692997</v>
      </c>
      <c r="X295" s="7" t="str">
        <f aca="false">LEFT(A295,7)</f>
        <v>2026-10</v>
      </c>
    </row>
    <row r="296" customFormat="false" ht="15" hidden="false" customHeight="false" outlineLevel="0" collapsed="false">
      <c r="A296" s="7" t="s">
        <v>420</v>
      </c>
      <c r="B296" s="7" t="s">
        <v>201</v>
      </c>
      <c r="C296" s="7" t="s">
        <v>63</v>
      </c>
      <c r="D296" s="7" t="s">
        <v>59</v>
      </c>
      <c r="E296" s="7" t="s">
        <v>67</v>
      </c>
      <c r="F296" s="28" t="n">
        <v>46303.5625</v>
      </c>
      <c r="G296" s="29" t="n">
        <v>82931.71034</v>
      </c>
      <c r="H296" s="29" t="n">
        <v>83165.66165</v>
      </c>
      <c r="I296" s="28" t="n">
        <v>46303.5833333333</v>
      </c>
      <c r="J296" s="29" t="n">
        <v>82815.2475650655</v>
      </c>
      <c r="K296" s="7" t="s">
        <v>69</v>
      </c>
      <c r="L296" s="30" t="n">
        <v>0.004</v>
      </c>
      <c r="M296" s="12" t="n">
        <f aca="false">L296*G296*Settings!$B$5</f>
        <v>29191.96203968</v>
      </c>
      <c r="N296" s="31" t="n">
        <f aca="false">(I296-F296)*24</f>
        <v>0.5</v>
      </c>
      <c r="O296" s="12" t="n">
        <v>38.1700850075614</v>
      </c>
      <c r="P296" s="12" t="n">
        <v>3.54112003799097</v>
      </c>
      <c r="Q296" s="12" t="n">
        <f aca="false">2*Calculator!$C$5*M296</f>
        <v>34.4465152068224</v>
      </c>
      <c r="R296" s="12" t="n">
        <f aca="false">O296-P296-Q296</f>
        <v>0.182449762748014</v>
      </c>
      <c r="S296" s="12" t="n">
        <f aca="false">O296+2*Calculator!$C$6*M296</f>
        <v>49.8468698234334</v>
      </c>
      <c r="T296" s="12" t="n">
        <f aca="false">S296-2*Calculator!$B$6*M296</f>
        <v>38.1700850075614</v>
      </c>
      <c r="U296" s="12" t="n">
        <f aca="false">2*Calculator!$B$5*M296</f>
        <v>34.4465152068224</v>
      </c>
      <c r="V296" s="12" t="n">
        <f aca="false">R296*Calculator!$B$7/Calculator!$C$7</f>
        <v>0.182449762748014</v>
      </c>
      <c r="W296" s="14" t="n">
        <f aca="false">T296-U296-V296</f>
        <v>3.54112003799096</v>
      </c>
      <c r="X296" s="7" t="str">
        <f aca="false">LEFT(A296,7)</f>
        <v>2026-10</v>
      </c>
    </row>
    <row r="297" customFormat="false" ht="15" hidden="false" customHeight="false" outlineLevel="0" collapsed="false">
      <c r="A297" s="7" t="s">
        <v>421</v>
      </c>
      <c r="B297" s="7" t="s">
        <v>203</v>
      </c>
      <c r="C297" s="7" t="s">
        <v>64</v>
      </c>
      <c r="D297" s="7" t="s">
        <v>60</v>
      </c>
      <c r="E297" s="7" t="s">
        <v>66</v>
      </c>
      <c r="F297" s="28" t="n">
        <v>46304.8229166667</v>
      </c>
      <c r="G297" s="29" t="n">
        <v>82839.16452</v>
      </c>
      <c r="H297" s="29" t="n">
        <v>82069.02</v>
      </c>
      <c r="I297" s="28" t="n">
        <v>46304.8333333333</v>
      </c>
      <c r="J297" s="29" t="n">
        <v>83060.248497226</v>
      </c>
      <c r="K297" s="7" t="s">
        <v>69</v>
      </c>
      <c r="L297" s="30" t="n">
        <v>0.001</v>
      </c>
      <c r="M297" s="12" t="n">
        <f aca="false">L297*G297*Settings!$B$5</f>
        <v>7289.84647776</v>
      </c>
      <c r="N297" s="31" t="n">
        <f aca="false">(I297-F297)*24</f>
        <v>0.250000000465556</v>
      </c>
      <c r="O297" s="12" t="n">
        <v>19.4553899958874</v>
      </c>
      <c r="P297" s="12" t="n">
        <v>10.8305903818876</v>
      </c>
      <c r="Q297" s="12" t="n">
        <f aca="false">2*Calculator!$C$5*M297</f>
        <v>8.6020188437568</v>
      </c>
      <c r="R297" s="12" t="n">
        <f aca="false">O297-P297-Q297</f>
        <v>0.0227807702429956</v>
      </c>
      <c r="S297" s="12" t="n">
        <f aca="false">O297+2*Calculator!$C$6*M297</f>
        <v>22.3713285869914</v>
      </c>
      <c r="T297" s="12" t="n">
        <f aca="false">S297-2*Calculator!$B$6*M297</f>
        <v>19.4553899958874</v>
      </c>
      <c r="U297" s="12" t="n">
        <f aca="false">2*Calculator!$B$5*M297</f>
        <v>8.6020188437568</v>
      </c>
      <c r="V297" s="12" t="n">
        <f aca="false">R297*Calculator!$B$7/Calculator!$C$7</f>
        <v>0.0227807702429956</v>
      </c>
      <c r="W297" s="14" t="n">
        <f aca="false">T297-U297-V297</f>
        <v>10.8305903818876</v>
      </c>
      <c r="X297" s="7" t="str">
        <f aca="false">LEFT(A297,7)</f>
        <v>2026-10</v>
      </c>
    </row>
    <row r="298" customFormat="false" ht="15" hidden="false" customHeight="false" outlineLevel="0" collapsed="false">
      <c r="A298" s="7" t="s">
        <v>422</v>
      </c>
      <c r="B298" s="7" t="s">
        <v>207</v>
      </c>
      <c r="C298" s="7" t="s">
        <v>63</v>
      </c>
      <c r="D298" s="7" t="s">
        <v>60</v>
      </c>
      <c r="E298" s="7" t="s">
        <v>66</v>
      </c>
      <c r="F298" s="28" t="n">
        <v>46306.5625</v>
      </c>
      <c r="G298" s="29" t="n">
        <v>82997.39616</v>
      </c>
      <c r="H298" s="29" t="n">
        <v>82596.53545</v>
      </c>
      <c r="I298" s="28" t="n">
        <v>46306.7395833333</v>
      </c>
      <c r="J298" s="29" t="n">
        <v>83113.8587255355</v>
      </c>
      <c r="K298" s="7" t="s">
        <v>69</v>
      </c>
      <c r="L298" s="30" t="n">
        <v>0.002</v>
      </c>
      <c r="M298" s="12" t="n">
        <f aca="false">L298*G298*Settings!$B$5</f>
        <v>14607.54172416</v>
      </c>
      <c r="N298" s="31" t="n">
        <f aca="false">(I298-F298)*24</f>
        <v>4.25</v>
      </c>
      <c r="O298" s="12" t="n">
        <v>26.4222952604604</v>
      </c>
      <c r="P298" s="12" t="n">
        <v>8.43219465579955</v>
      </c>
      <c r="Q298" s="12" t="n">
        <f aca="false">2*Calculator!$C$5*M298</f>
        <v>17.2368992345088</v>
      </c>
      <c r="R298" s="12" t="n">
        <f aca="false">O298-P298-Q298</f>
        <v>0.753201370151999</v>
      </c>
      <c r="S298" s="12" t="n">
        <f aca="false">O298+2*Calculator!$C$6*M298</f>
        <v>32.2653119501244</v>
      </c>
      <c r="T298" s="12" t="n">
        <f aca="false">S298-2*Calculator!$B$6*M298</f>
        <v>26.4222952604604</v>
      </c>
      <c r="U298" s="12" t="n">
        <f aca="false">2*Calculator!$B$5*M298</f>
        <v>17.2368992345088</v>
      </c>
      <c r="V298" s="12" t="n">
        <f aca="false">R298*Calculator!$B$7/Calculator!$C$7</f>
        <v>0.753201370151999</v>
      </c>
      <c r="W298" s="14" t="n">
        <f aca="false">T298-U298-V298</f>
        <v>8.43219465579955</v>
      </c>
      <c r="X298" s="7" t="str">
        <f aca="false">LEFT(A298,7)</f>
        <v>2026-10</v>
      </c>
    </row>
    <row r="299" customFormat="false" ht="15" hidden="false" customHeight="false" outlineLevel="0" collapsed="false">
      <c r="A299" s="7" t="s">
        <v>423</v>
      </c>
      <c r="B299" s="7" t="s">
        <v>213</v>
      </c>
      <c r="C299" s="7" t="s">
        <v>63</v>
      </c>
      <c r="D299" s="7" t="s">
        <v>60</v>
      </c>
      <c r="E299" s="7" t="s">
        <v>66</v>
      </c>
      <c r="F299" s="28" t="n">
        <v>46307.5625</v>
      </c>
      <c r="G299" s="29" t="n">
        <v>83977.69218</v>
      </c>
      <c r="H299" s="29" t="n">
        <v>83553.5096</v>
      </c>
      <c r="I299" s="28" t="n">
        <v>46307.5729166667</v>
      </c>
      <c r="J299" s="29" t="n">
        <v>83536.79889808</v>
      </c>
      <c r="K299" s="7" t="s">
        <v>70</v>
      </c>
      <c r="L299" s="30" t="n">
        <v>0.002</v>
      </c>
      <c r="M299" s="12" t="n">
        <f aca="false">L299*G299*Settings!$B$5</f>
        <v>14780.07382368</v>
      </c>
      <c r="N299" s="31" t="n">
        <f aca="false">(I299-F299)*24</f>
        <v>0.25</v>
      </c>
      <c r="O299" s="12" t="n">
        <v>-77.5972176179197</v>
      </c>
      <c r="P299" s="12" t="n">
        <v>-95.0838924605611</v>
      </c>
      <c r="Q299" s="12" t="n">
        <f aca="false">2*Calculator!$C$5*M299</f>
        <v>17.4404871119424</v>
      </c>
      <c r="R299" s="12" t="n">
        <f aca="false">O299-P299-Q299</f>
        <v>0.0461877306990033</v>
      </c>
      <c r="S299" s="12" t="n">
        <f aca="false">O299+2*Calculator!$C$6*M299</f>
        <v>-71.6851880884477</v>
      </c>
      <c r="T299" s="12" t="n">
        <f aca="false">S299-2*Calculator!$B$6*M299</f>
        <v>-77.5972176179197</v>
      </c>
      <c r="U299" s="12" t="n">
        <f aca="false">2*Calculator!$B$5*M299</f>
        <v>17.4404871119424</v>
      </c>
      <c r="V299" s="12" t="n">
        <f aca="false">R299*Calculator!$B$7/Calculator!$C$7</f>
        <v>0.0461877306990033</v>
      </c>
      <c r="W299" s="14" t="n">
        <f aca="false">T299-U299-V299</f>
        <v>-95.0838924605611</v>
      </c>
      <c r="X299" s="7" t="str">
        <f aca="false">LEFT(A299,7)</f>
        <v>2026-10</v>
      </c>
    </row>
    <row r="300" customFormat="false" ht="15" hidden="false" customHeight="false" outlineLevel="0" collapsed="false">
      <c r="A300" s="7" t="s">
        <v>423</v>
      </c>
      <c r="B300" s="7" t="s">
        <v>213</v>
      </c>
      <c r="C300" s="7" t="s">
        <v>64</v>
      </c>
      <c r="D300" s="7" t="s">
        <v>59</v>
      </c>
      <c r="E300" s="7" t="s">
        <v>66</v>
      </c>
      <c r="F300" s="28" t="n">
        <v>46307.8125</v>
      </c>
      <c r="G300" s="29" t="n">
        <v>82938.5844</v>
      </c>
      <c r="H300" s="29" t="n">
        <v>82600.81265</v>
      </c>
      <c r="I300" s="28" t="n">
        <v>46307.8333333333</v>
      </c>
      <c r="J300" s="29" t="n">
        <v>82584.29248747</v>
      </c>
      <c r="K300" s="7" t="s">
        <v>70</v>
      </c>
      <c r="L300" s="30" t="n">
        <v>0.003</v>
      </c>
      <c r="M300" s="12" t="n">
        <f aca="false">L300*G300*Settings!$B$5</f>
        <v>21895.7862816</v>
      </c>
      <c r="N300" s="31" t="n">
        <f aca="false">(I300-F300)*24</f>
        <v>0.5</v>
      </c>
      <c r="O300" s="12" t="n">
        <v>-93.5330649079189</v>
      </c>
      <c r="P300" s="12" t="n">
        <v>-119.506941384467</v>
      </c>
      <c r="Q300" s="12" t="n">
        <f aca="false">2*Calculator!$C$5*M300</f>
        <v>25.837027812288</v>
      </c>
      <c r="R300" s="12" t="n">
        <f aca="false">O300-P300-Q300</f>
        <v>0.136848664259986</v>
      </c>
      <c r="S300" s="12" t="n">
        <f aca="false">O300+2*Calculator!$C$6*M300</f>
        <v>-84.7747503952789</v>
      </c>
      <c r="T300" s="12" t="n">
        <f aca="false">S300-2*Calculator!$B$6*M300</f>
        <v>-93.5330649079189</v>
      </c>
      <c r="U300" s="12" t="n">
        <f aca="false">2*Calculator!$B$5*M300</f>
        <v>25.837027812288</v>
      </c>
      <c r="V300" s="12" t="n">
        <f aca="false">R300*Calculator!$B$7/Calculator!$C$7</f>
        <v>0.136848664259986</v>
      </c>
      <c r="W300" s="14" t="n">
        <f aca="false">T300-U300-V300</f>
        <v>-119.506941384467</v>
      </c>
      <c r="X300" s="7" t="str">
        <f aca="false">LEFT(A300,7)</f>
        <v>2026-10</v>
      </c>
    </row>
    <row r="301" customFormat="false" ht="15" hidden="false" customHeight="false" outlineLevel="0" collapsed="false">
      <c r="A301" s="7" t="s">
        <v>424</v>
      </c>
      <c r="B301" s="7" t="s">
        <v>201</v>
      </c>
      <c r="C301" s="7" t="s">
        <v>64</v>
      </c>
      <c r="D301" s="7" t="s">
        <v>60</v>
      </c>
      <c r="E301" s="7" t="s">
        <v>67</v>
      </c>
      <c r="F301" s="28" t="n">
        <v>46310.8125</v>
      </c>
      <c r="G301" s="29" t="n">
        <v>80148.56708</v>
      </c>
      <c r="H301" s="29" t="n">
        <v>81082.6373</v>
      </c>
      <c r="I301" s="28" t="n">
        <v>46310.8125</v>
      </c>
      <c r="J301" s="29" t="n">
        <v>81098.85382746</v>
      </c>
      <c r="K301" s="7" t="s">
        <v>70</v>
      </c>
      <c r="L301" s="30" t="n">
        <v>0.001</v>
      </c>
      <c r="M301" s="12" t="n">
        <f aca="false">L301*G301*Settings!$B$5</f>
        <v>7053.07390304</v>
      </c>
      <c r="N301" s="31" t="n">
        <f aca="false">(I301-F301)*24</f>
        <v>0</v>
      </c>
      <c r="O301" s="12" t="n">
        <v>-83.625233776478</v>
      </c>
      <c r="P301" s="12" t="n">
        <v>-91.9478609820652</v>
      </c>
      <c r="Q301" s="12" t="n">
        <f aca="false">2*Calculator!$C$5*M301</f>
        <v>8.3226272055872</v>
      </c>
      <c r="R301" s="12" t="n">
        <f aca="false">O301-P301-Q301</f>
        <v>0</v>
      </c>
      <c r="S301" s="12" t="n">
        <f aca="false">O301+2*Calculator!$C$6*M301</f>
        <v>-80.804004215262</v>
      </c>
      <c r="T301" s="12" t="n">
        <f aca="false">S301-2*Calculator!$B$6*M301</f>
        <v>-83.625233776478</v>
      </c>
      <c r="U301" s="12" t="n">
        <f aca="false">2*Calculator!$B$5*M301</f>
        <v>8.3226272055872</v>
      </c>
      <c r="V301" s="12" t="n">
        <f aca="false">R301*Calculator!$B$7/Calculator!$C$7</f>
        <v>0</v>
      </c>
      <c r="W301" s="14" t="n">
        <f aca="false">T301-U301-V301</f>
        <v>-91.9478609820652</v>
      </c>
      <c r="X301" s="7" t="str">
        <f aca="false">LEFT(A301,7)</f>
        <v>2026-10</v>
      </c>
    </row>
    <row r="302" customFormat="false" ht="15" hidden="false" customHeight="false" outlineLevel="0" collapsed="false">
      <c r="A302" s="7" t="s">
        <v>425</v>
      </c>
      <c r="B302" s="7" t="s">
        <v>203</v>
      </c>
      <c r="C302" s="7" t="s">
        <v>63</v>
      </c>
      <c r="D302" s="7" t="s">
        <v>59</v>
      </c>
      <c r="E302" s="7" t="s">
        <v>66</v>
      </c>
      <c r="F302" s="28" t="n">
        <v>46311.5625</v>
      </c>
      <c r="G302" s="29" t="n">
        <v>82276.85208</v>
      </c>
      <c r="H302" s="29" t="n">
        <v>82073.20525</v>
      </c>
      <c r="I302" s="28" t="n">
        <v>46311.625</v>
      </c>
      <c r="J302" s="29" t="n">
        <v>82056.79060895</v>
      </c>
      <c r="K302" s="7" t="s">
        <v>70</v>
      </c>
      <c r="L302" s="30" t="n">
        <v>0.005</v>
      </c>
      <c r="M302" s="12" t="n">
        <f aca="false">L302*G302*Settings!$B$5</f>
        <v>36201.8149152</v>
      </c>
      <c r="N302" s="31" t="n">
        <f aca="false">(I302-F302)*24</f>
        <v>1.5</v>
      </c>
      <c r="O302" s="12" t="n">
        <v>-96.8270472619974</v>
      </c>
      <c r="P302" s="12" t="n">
        <v>-140.223972891593</v>
      </c>
      <c r="Q302" s="12" t="n">
        <f aca="false">2*Calculator!$C$5*M302</f>
        <v>42.718141599936</v>
      </c>
      <c r="R302" s="12" t="n">
        <f aca="false">O302-P302-Q302</f>
        <v>0.678784029660022</v>
      </c>
      <c r="S302" s="12" t="n">
        <f aca="false">O302+2*Calculator!$C$6*M302</f>
        <v>-82.3463212959174</v>
      </c>
      <c r="T302" s="12" t="n">
        <f aca="false">S302-2*Calculator!$B$6*M302</f>
        <v>-96.8270472619974</v>
      </c>
      <c r="U302" s="12" t="n">
        <f aca="false">2*Calculator!$B$5*M302</f>
        <v>42.718141599936</v>
      </c>
      <c r="V302" s="12" t="n">
        <f aca="false">R302*Calculator!$B$7/Calculator!$C$7</f>
        <v>0.678784029660022</v>
      </c>
      <c r="W302" s="14" t="n">
        <f aca="false">T302-U302-V302</f>
        <v>-140.223972891593</v>
      </c>
      <c r="X302" s="7" t="str">
        <f aca="false">LEFT(A302,7)</f>
        <v>2026-10</v>
      </c>
    </row>
  </sheetData>
  <autoFilter ref="A1:X30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58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0"/>
    <col collapsed="false" customWidth="true" hidden="false" outlineLevel="0" max="4" min="3" style="0" width="11"/>
    <col collapsed="false" customWidth="true" hidden="false" outlineLevel="0" max="5" min="5" style="0" width="8"/>
    <col collapsed="false" customWidth="true" hidden="false" outlineLevel="0" max="6" min="6" style="0" width="13"/>
    <col collapsed="false" customWidth="true" hidden="false" outlineLevel="0" max="7" min="7" style="0" width="34"/>
    <col collapsed="false" customWidth="true" hidden="false" outlineLevel="0" max="8" min="8" style="0" width="10"/>
    <col collapsed="false" customWidth="true" hidden="false" outlineLevel="0" max="11" min="9" style="0" width="9"/>
    <col collapsed="false" customWidth="true" hidden="false" outlineLevel="0" max="13" min="12" style="0" width="8"/>
    <col collapsed="false" customWidth="true" hidden="false" outlineLevel="0" max="17" min="14" style="0" width="10"/>
    <col collapsed="false" customWidth="true" hidden="false" outlineLevel="0" max="18" min="18" style="0" width="14"/>
  </cols>
  <sheetData>
    <row r="1" customFormat="false" ht="35.05" hidden="false" customHeight="false" outlineLevel="0" collapsed="false">
      <c r="A1" s="6" t="s">
        <v>426</v>
      </c>
      <c r="B1" s="6" t="s">
        <v>427</v>
      </c>
      <c r="C1" s="6" t="s">
        <v>428</v>
      </c>
      <c r="D1" s="6" t="s">
        <v>429</v>
      </c>
      <c r="E1" s="6" t="s">
        <v>430</v>
      </c>
      <c r="F1" s="6" t="s">
        <v>431</v>
      </c>
      <c r="G1" s="6" t="s">
        <v>432</v>
      </c>
      <c r="H1" s="6" t="s">
        <v>433</v>
      </c>
      <c r="I1" s="6" t="s">
        <v>434</v>
      </c>
      <c r="J1" s="6" t="s">
        <v>435</v>
      </c>
      <c r="K1" s="6" t="s">
        <v>436</v>
      </c>
      <c r="L1" s="6" t="s">
        <v>437</v>
      </c>
      <c r="M1" s="6" t="s">
        <v>438</v>
      </c>
      <c r="N1" s="6" t="s">
        <v>439</v>
      </c>
      <c r="O1" s="6" t="s">
        <v>440</v>
      </c>
      <c r="P1" s="6" t="s">
        <v>441</v>
      </c>
      <c r="Q1" s="6" t="s">
        <v>442</v>
      </c>
      <c r="R1" s="6" t="s">
        <v>443</v>
      </c>
    </row>
    <row r="2" customFormat="false" ht="15" hidden="false" customHeight="false" outlineLevel="0" collapsed="false">
      <c r="A2" s="7" t="s">
        <v>198</v>
      </c>
      <c r="B2" s="7" t="s">
        <v>64</v>
      </c>
      <c r="C2" s="7" t="n">
        <v>88805.8</v>
      </c>
      <c r="D2" s="7" t="n">
        <v>88705.3</v>
      </c>
      <c r="E2" s="7" t="n">
        <v>0.0011329649975818</v>
      </c>
      <c r="F2" s="7" t="s">
        <v>59</v>
      </c>
      <c r="G2" s="7" t="s">
        <v>444</v>
      </c>
      <c r="H2" s="7" t="s">
        <v>66</v>
      </c>
      <c r="I2" s="32" t="b">
        <f aca="false">TRUE()</f>
        <v>1</v>
      </c>
      <c r="J2" s="32" t="b">
        <f aca="false">FALSE()</f>
        <v>0</v>
      </c>
      <c r="K2" s="32" t="b">
        <f aca="false">FALSE()</f>
        <v>0</v>
      </c>
      <c r="L2" s="7" t="s">
        <v>445</v>
      </c>
      <c r="M2" s="7" t="s">
        <v>446</v>
      </c>
      <c r="N2" s="7" t="s">
        <v>447</v>
      </c>
      <c r="O2" s="7" t="n">
        <v>88972.09</v>
      </c>
      <c r="P2" s="7" t="n">
        <v>88672.59</v>
      </c>
      <c r="Q2" s="7" t="n">
        <v>6.42</v>
      </c>
      <c r="R2" s="7" t="s">
        <v>69</v>
      </c>
    </row>
    <row r="3" customFormat="false" ht="15" hidden="false" customHeight="false" outlineLevel="0" collapsed="false">
      <c r="A3" s="7" t="s">
        <v>200</v>
      </c>
      <c r="B3" s="7" t="s">
        <v>63</v>
      </c>
      <c r="C3" s="7" t="n">
        <v>87637.5</v>
      </c>
      <c r="D3" s="7" t="n">
        <v>87572.7</v>
      </c>
      <c r="E3" s="7" t="n">
        <v>0.0007399566303197</v>
      </c>
      <c r="F3" s="7" t="s">
        <v>60</v>
      </c>
      <c r="G3" s="7" t="s">
        <v>448</v>
      </c>
      <c r="H3" s="7" t="s">
        <v>67</v>
      </c>
      <c r="I3" s="32" t="b">
        <f aca="false">FALSE()</f>
        <v>0</v>
      </c>
      <c r="J3" s="32" t="b">
        <f aca="false">TRUE()</f>
        <v>1</v>
      </c>
      <c r="K3" s="32" t="b">
        <f aca="false">FALSE()</f>
        <v>0</v>
      </c>
      <c r="L3" s="7" t="s">
        <v>445</v>
      </c>
      <c r="M3" s="7" t="s">
        <v>446</v>
      </c>
      <c r="N3" s="7" t="s">
        <v>449</v>
      </c>
      <c r="O3" s="7" t="n">
        <v>87586.18</v>
      </c>
      <c r="P3" s="7" t="n">
        <v>88031.87</v>
      </c>
      <c r="Q3" s="7" t="n">
        <v>-84.64</v>
      </c>
      <c r="R3" s="7" t="s">
        <v>71</v>
      </c>
    </row>
    <row r="4" customFormat="false" ht="15" hidden="false" customHeight="false" outlineLevel="0" collapsed="false">
      <c r="A4" s="7" t="s">
        <v>200</v>
      </c>
      <c r="B4" s="7" t="s">
        <v>64</v>
      </c>
      <c r="C4" s="7" t="n">
        <v>87950</v>
      </c>
      <c r="D4" s="7" t="n">
        <v>87901.1</v>
      </c>
      <c r="E4" s="7" t="n">
        <v>0.000556307031425</v>
      </c>
      <c r="F4" s="7" t="s">
        <v>450</v>
      </c>
      <c r="G4" s="7" t="s">
        <v>451</v>
      </c>
      <c r="H4" s="7" t="s">
        <v>450</v>
      </c>
      <c r="I4" s="32" t="b">
        <f aca="false">FALSE()</f>
        <v>0</v>
      </c>
      <c r="J4" s="32" t="b">
        <f aca="false">FALSE()</f>
        <v>0</v>
      </c>
      <c r="K4" s="32" t="b">
        <f aca="false">FALSE()</f>
        <v>0</v>
      </c>
      <c r="L4" s="7" t="s">
        <v>445</v>
      </c>
      <c r="M4" s="7" t="s">
        <v>452</v>
      </c>
      <c r="N4" s="7" t="s">
        <v>453</v>
      </c>
      <c r="O4" s="7"/>
      <c r="P4" s="7"/>
      <c r="Q4" s="7"/>
      <c r="R4" s="7"/>
    </row>
    <row r="5" customFormat="false" ht="15" hidden="false" customHeight="false" outlineLevel="0" collapsed="false">
      <c r="A5" s="7" t="s">
        <v>202</v>
      </c>
      <c r="B5" s="7" t="s">
        <v>63</v>
      </c>
      <c r="C5" s="7" t="n">
        <v>88883.4</v>
      </c>
      <c r="D5" s="7" t="n">
        <v>88800.9</v>
      </c>
      <c r="E5" s="7" t="n">
        <v>0.0009290446380611</v>
      </c>
      <c r="F5" s="7" t="s">
        <v>60</v>
      </c>
      <c r="G5" s="7" t="s">
        <v>448</v>
      </c>
      <c r="H5" s="7" t="s">
        <v>67</v>
      </c>
      <c r="I5" s="32" t="b">
        <f aca="false">FALSE()</f>
        <v>0</v>
      </c>
      <c r="J5" s="32" t="b">
        <f aca="false">TRUE()</f>
        <v>1</v>
      </c>
      <c r="K5" s="32" t="b">
        <f aca="false">FALSE()</f>
        <v>0</v>
      </c>
      <c r="L5" s="7" t="s">
        <v>445</v>
      </c>
      <c r="M5" s="7" t="s">
        <v>446</v>
      </c>
      <c r="N5" s="7" t="s">
        <v>449</v>
      </c>
      <c r="O5" s="7" t="n">
        <v>88811.53</v>
      </c>
      <c r="P5" s="7" t="n">
        <v>89283.38</v>
      </c>
      <c r="Q5" s="7" t="n">
        <v>-104.83</v>
      </c>
      <c r="R5" s="7" t="s">
        <v>70</v>
      </c>
    </row>
    <row r="6" customFormat="false" ht="15" hidden="false" customHeight="false" outlineLevel="0" collapsed="false">
      <c r="A6" s="7" t="s">
        <v>202</v>
      </c>
      <c r="B6" s="7" t="s">
        <v>64</v>
      </c>
      <c r="C6" s="7" t="n">
        <v>89539.6</v>
      </c>
      <c r="D6" s="7" t="n">
        <v>89355.7</v>
      </c>
      <c r="E6" s="7" t="n">
        <v>0.0020580668049157</v>
      </c>
      <c r="F6" s="7" t="s">
        <v>450</v>
      </c>
      <c r="G6" s="7" t="s">
        <v>451</v>
      </c>
      <c r="H6" s="7" t="s">
        <v>450</v>
      </c>
      <c r="I6" s="32" t="b">
        <f aca="false">FALSE()</f>
        <v>0</v>
      </c>
      <c r="J6" s="32" t="b">
        <f aca="false">FALSE()</f>
        <v>0</v>
      </c>
      <c r="K6" s="32" t="b">
        <f aca="false">FALSE()</f>
        <v>0</v>
      </c>
      <c r="L6" s="7" t="s">
        <v>445</v>
      </c>
      <c r="M6" s="7" t="s">
        <v>452</v>
      </c>
      <c r="N6" s="7" t="s">
        <v>453</v>
      </c>
      <c r="O6" s="7"/>
      <c r="P6" s="7"/>
      <c r="Q6" s="7"/>
      <c r="R6" s="7"/>
    </row>
    <row r="7" customFormat="false" ht="15" hidden="false" customHeight="false" outlineLevel="0" collapsed="false">
      <c r="A7" s="7" t="s">
        <v>204</v>
      </c>
      <c r="B7" s="7" t="s">
        <v>63</v>
      </c>
      <c r="C7" s="7" t="n">
        <v>89555</v>
      </c>
      <c r="D7" s="7" t="n">
        <v>89261.2</v>
      </c>
      <c r="E7" s="7" t="n">
        <v>0.0032914637042746</v>
      </c>
      <c r="F7" s="7" t="s">
        <v>60</v>
      </c>
      <c r="G7" s="7" t="s">
        <v>448</v>
      </c>
      <c r="H7" s="7" t="s">
        <v>67</v>
      </c>
      <c r="I7" s="32" t="b">
        <f aca="false">FALSE()</f>
        <v>0</v>
      </c>
      <c r="J7" s="32" t="b">
        <f aca="false">TRUE()</f>
        <v>1</v>
      </c>
      <c r="K7" s="32" t="b">
        <f aca="false">FALSE()</f>
        <v>0</v>
      </c>
      <c r="L7" s="7" t="s">
        <v>445</v>
      </c>
      <c r="M7" s="7" t="s">
        <v>446</v>
      </c>
      <c r="N7" s="7" t="s">
        <v>454</v>
      </c>
      <c r="O7" s="7" t="n">
        <v>89467.3</v>
      </c>
      <c r="P7" s="7" t="n">
        <v>89958</v>
      </c>
      <c r="Q7" s="7" t="n">
        <v>-109</v>
      </c>
      <c r="R7" s="7" t="s">
        <v>70</v>
      </c>
    </row>
    <row r="8" customFormat="false" ht="15" hidden="false" customHeight="false" outlineLevel="0" collapsed="false">
      <c r="A8" s="7" t="s">
        <v>204</v>
      </c>
      <c r="B8" s="7" t="s">
        <v>64</v>
      </c>
      <c r="C8" s="7" t="n">
        <v>90007.2</v>
      </c>
      <c r="D8" s="7" t="n">
        <v>89902.4</v>
      </c>
      <c r="E8" s="7" t="n">
        <v>0.0011657085906494</v>
      </c>
      <c r="F8" s="7" t="s">
        <v>450</v>
      </c>
      <c r="G8" s="7" t="s">
        <v>451</v>
      </c>
      <c r="H8" s="7" t="s">
        <v>450</v>
      </c>
      <c r="I8" s="32" t="b">
        <f aca="false">FALSE()</f>
        <v>0</v>
      </c>
      <c r="J8" s="32" t="b">
        <f aca="false">FALSE()</f>
        <v>0</v>
      </c>
      <c r="K8" s="32" t="b">
        <f aca="false">FALSE()</f>
        <v>0</v>
      </c>
      <c r="L8" s="7" t="s">
        <v>445</v>
      </c>
      <c r="M8" s="7" t="s">
        <v>452</v>
      </c>
      <c r="N8" s="7" t="s">
        <v>453</v>
      </c>
      <c r="O8" s="7"/>
      <c r="P8" s="7"/>
      <c r="Q8" s="7"/>
      <c r="R8" s="7"/>
    </row>
    <row r="9" customFormat="false" ht="15" hidden="false" customHeight="false" outlineLevel="0" collapsed="false">
      <c r="A9" s="7" t="s">
        <v>206</v>
      </c>
      <c r="B9" s="7" t="s">
        <v>63</v>
      </c>
      <c r="C9" s="7" t="n">
        <v>91463.1</v>
      </c>
      <c r="D9" s="7" t="n">
        <v>91264</v>
      </c>
      <c r="E9" s="7" t="n">
        <v>0.0021815830995793</v>
      </c>
      <c r="F9" s="7" t="s">
        <v>450</v>
      </c>
      <c r="G9" s="7" t="s">
        <v>451</v>
      </c>
      <c r="H9" s="7" t="s">
        <v>450</v>
      </c>
      <c r="I9" s="32" t="b">
        <f aca="false">FALSE()</f>
        <v>0</v>
      </c>
      <c r="J9" s="32" t="b">
        <f aca="false">FALSE()</f>
        <v>0</v>
      </c>
      <c r="K9" s="32" t="b">
        <f aca="false">FALSE()</f>
        <v>0</v>
      </c>
      <c r="L9" s="7" t="s">
        <v>445</v>
      </c>
      <c r="M9" s="7" t="s">
        <v>452</v>
      </c>
      <c r="N9" s="7" t="s">
        <v>453</v>
      </c>
      <c r="O9" s="7"/>
      <c r="P9" s="7"/>
      <c r="Q9" s="7"/>
      <c r="R9" s="7"/>
    </row>
    <row r="10" customFormat="false" ht="15" hidden="false" customHeight="false" outlineLevel="0" collapsed="false">
      <c r="A10" s="7" t="s">
        <v>206</v>
      </c>
      <c r="B10" s="7" t="s">
        <v>64</v>
      </c>
      <c r="C10" s="7" t="n">
        <v>91231</v>
      </c>
      <c r="D10" s="7" t="n">
        <v>91116.2</v>
      </c>
      <c r="E10" s="7" t="n">
        <v>0.0012599296283207</v>
      </c>
      <c r="F10" s="7" t="s">
        <v>61</v>
      </c>
      <c r="G10" s="7" t="s">
        <v>455</v>
      </c>
      <c r="H10" s="7" t="s">
        <v>66</v>
      </c>
      <c r="I10" s="32" t="b">
        <f aca="false">TRUE()</f>
        <v>1</v>
      </c>
      <c r="J10" s="32" t="b">
        <f aca="false">FALSE()</f>
        <v>0</v>
      </c>
      <c r="K10" s="32" t="b">
        <f aca="false">FALSE()</f>
        <v>0</v>
      </c>
      <c r="L10" s="7" t="s">
        <v>445</v>
      </c>
      <c r="M10" s="7" t="s">
        <v>446</v>
      </c>
      <c r="N10" s="7" t="s">
        <v>456</v>
      </c>
      <c r="O10" s="7" t="n">
        <v>91188.23</v>
      </c>
      <c r="P10" s="7" t="n">
        <v>91094.15</v>
      </c>
      <c r="Q10" s="7" t="n">
        <v>-15.52</v>
      </c>
      <c r="R10" s="7" t="s">
        <v>72</v>
      </c>
    </row>
    <row r="11" customFormat="false" ht="15" hidden="false" customHeight="false" outlineLevel="0" collapsed="false">
      <c r="A11" s="7" t="s">
        <v>457</v>
      </c>
      <c r="B11" s="7" t="s">
        <v>63</v>
      </c>
      <c r="C11" s="7" t="n">
        <v>92571.6</v>
      </c>
      <c r="D11" s="7" t="n">
        <v>92502.8</v>
      </c>
      <c r="E11" s="7" t="n">
        <v>0.0007437612699291</v>
      </c>
      <c r="F11" s="7" t="s">
        <v>450</v>
      </c>
      <c r="G11" s="7" t="s">
        <v>451</v>
      </c>
      <c r="H11" s="7" t="s">
        <v>450</v>
      </c>
      <c r="I11" s="32" t="b">
        <f aca="false">FALSE()</f>
        <v>0</v>
      </c>
      <c r="J11" s="32" t="b">
        <f aca="false">FALSE()</f>
        <v>0</v>
      </c>
      <c r="K11" s="32" t="b">
        <f aca="false">FALSE()</f>
        <v>0</v>
      </c>
      <c r="L11" s="7" t="s">
        <v>445</v>
      </c>
      <c r="M11" s="7" t="s">
        <v>452</v>
      </c>
      <c r="N11" s="7" t="s">
        <v>458</v>
      </c>
      <c r="O11" s="7"/>
      <c r="P11" s="7"/>
      <c r="Q11" s="7"/>
      <c r="R11" s="7"/>
    </row>
    <row r="12" customFormat="false" ht="15" hidden="false" customHeight="false" outlineLevel="0" collapsed="false">
      <c r="A12" s="7" t="s">
        <v>457</v>
      </c>
      <c r="B12" s="7" t="s">
        <v>64</v>
      </c>
      <c r="C12" s="7" t="n">
        <v>92755.6</v>
      </c>
      <c r="D12" s="7" t="n">
        <v>92496.9</v>
      </c>
      <c r="E12" s="7" t="n">
        <v>0.0027968504890435</v>
      </c>
      <c r="F12" s="7" t="s">
        <v>450</v>
      </c>
      <c r="G12" s="7" t="s">
        <v>451</v>
      </c>
      <c r="H12" s="7" t="s">
        <v>450</v>
      </c>
      <c r="I12" s="32" t="b">
        <f aca="false">FALSE()</f>
        <v>0</v>
      </c>
      <c r="J12" s="32" t="b">
        <f aca="false">FALSE()</f>
        <v>0</v>
      </c>
      <c r="K12" s="32" t="b">
        <f aca="false">FALSE()</f>
        <v>0</v>
      </c>
      <c r="L12" s="7" t="s">
        <v>445</v>
      </c>
      <c r="M12" s="7" t="s">
        <v>452</v>
      </c>
      <c r="N12" s="7" t="s">
        <v>458</v>
      </c>
      <c r="O12" s="7"/>
      <c r="P12" s="7"/>
      <c r="Q12" s="7"/>
      <c r="R12" s="7"/>
    </row>
    <row r="13" customFormat="false" ht="15" hidden="false" customHeight="false" outlineLevel="0" collapsed="false">
      <c r="A13" s="7" t="s">
        <v>208</v>
      </c>
      <c r="B13" s="7" t="s">
        <v>63</v>
      </c>
      <c r="C13" s="7" t="n">
        <v>93379.6</v>
      </c>
      <c r="D13" s="7" t="n">
        <v>93160.5</v>
      </c>
      <c r="E13" s="7" t="n">
        <v>0.002351855131735</v>
      </c>
      <c r="F13" s="7" t="s">
        <v>60</v>
      </c>
      <c r="G13" s="7" t="s">
        <v>459</v>
      </c>
      <c r="H13" s="7" t="s">
        <v>66</v>
      </c>
      <c r="I13" s="32" t="b">
        <f aca="false">FALSE()</f>
        <v>0</v>
      </c>
      <c r="J13" s="32" t="b">
        <f aca="false">TRUE()</f>
        <v>1</v>
      </c>
      <c r="K13" s="32" t="b">
        <f aca="false">FALSE()</f>
        <v>0</v>
      </c>
      <c r="L13" s="7" t="s">
        <v>445</v>
      </c>
      <c r="M13" s="7" t="s">
        <v>446</v>
      </c>
      <c r="N13" s="7" t="s">
        <v>460</v>
      </c>
      <c r="O13" s="7" t="n">
        <v>93226.04</v>
      </c>
      <c r="P13" s="7" t="n">
        <v>92741.28</v>
      </c>
      <c r="Q13" s="7" t="n">
        <v>11.02</v>
      </c>
      <c r="R13" s="7" t="s">
        <v>69</v>
      </c>
    </row>
    <row r="14" customFormat="false" ht="15" hidden="false" customHeight="false" outlineLevel="0" collapsed="false">
      <c r="A14" s="7" t="s">
        <v>208</v>
      </c>
      <c r="B14" s="7" t="s">
        <v>64</v>
      </c>
      <c r="C14" s="7" t="n">
        <v>93724.6</v>
      </c>
      <c r="D14" s="7" t="n">
        <v>93619.9</v>
      </c>
      <c r="E14" s="7" t="n">
        <v>0.0011183519743132</v>
      </c>
      <c r="F14" s="7" t="s">
        <v>60</v>
      </c>
      <c r="G14" s="7" t="s">
        <v>459</v>
      </c>
      <c r="H14" s="7" t="s">
        <v>66</v>
      </c>
      <c r="I14" s="32" t="b">
        <f aca="false">FALSE()</f>
        <v>0</v>
      </c>
      <c r="J14" s="32" t="b">
        <f aca="false">TRUE()</f>
        <v>1</v>
      </c>
      <c r="K14" s="32" t="b">
        <f aca="false">FALSE()</f>
        <v>0</v>
      </c>
      <c r="L14" s="7" t="s">
        <v>445</v>
      </c>
      <c r="M14" s="7" t="s">
        <v>446</v>
      </c>
      <c r="N14" s="7" t="s">
        <v>460</v>
      </c>
      <c r="O14" s="7" t="n">
        <v>93696.74</v>
      </c>
      <c r="P14" s="7" t="n">
        <v>93198.61</v>
      </c>
      <c r="Q14" s="7" t="n">
        <v>28.05</v>
      </c>
      <c r="R14" s="7" t="s">
        <v>69</v>
      </c>
    </row>
    <row r="15" customFormat="false" ht="15" hidden="false" customHeight="false" outlineLevel="0" collapsed="false">
      <c r="A15" s="7" t="s">
        <v>461</v>
      </c>
      <c r="B15" s="7" t="s">
        <v>63</v>
      </c>
      <c r="C15" s="7" t="n">
        <v>92862.4</v>
      </c>
      <c r="D15" s="7" t="n">
        <v>92735.5</v>
      </c>
      <c r="E15" s="7" t="n">
        <v>0.0013684079990941</v>
      </c>
      <c r="F15" s="7" t="s">
        <v>450</v>
      </c>
      <c r="G15" s="7" t="s">
        <v>451</v>
      </c>
      <c r="H15" s="7" t="s">
        <v>450</v>
      </c>
      <c r="I15" s="32" t="b">
        <f aca="false">FALSE()</f>
        <v>0</v>
      </c>
      <c r="J15" s="32" t="b">
        <f aca="false">FALSE()</f>
        <v>0</v>
      </c>
      <c r="K15" s="32" t="b">
        <f aca="false">FALSE()</f>
        <v>0</v>
      </c>
      <c r="L15" s="7" t="s">
        <v>445</v>
      </c>
      <c r="M15" s="7" t="s">
        <v>452</v>
      </c>
      <c r="N15" s="7" t="s">
        <v>453</v>
      </c>
      <c r="O15" s="7"/>
      <c r="P15" s="7"/>
      <c r="Q15" s="7"/>
      <c r="R15" s="7"/>
    </row>
    <row r="16" customFormat="false" ht="15" hidden="false" customHeight="false" outlineLevel="0" collapsed="false">
      <c r="A16" s="7" t="s">
        <v>461</v>
      </c>
      <c r="B16" s="7" t="s">
        <v>64</v>
      </c>
      <c r="C16" s="7" t="n">
        <v>92217</v>
      </c>
      <c r="D16" s="7" t="n">
        <v>92017.6</v>
      </c>
      <c r="E16" s="7" t="n">
        <v>0.0021669767522734</v>
      </c>
      <c r="F16" s="7" t="s">
        <v>450</v>
      </c>
      <c r="G16" s="7" t="s">
        <v>451</v>
      </c>
      <c r="H16" s="7" t="s">
        <v>450</v>
      </c>
      <c r="I16" s="32" t="b">
        <f aca="false">FALSE()</f>
        <v>0</v>
      </c>
      <c r="J16" s="32" t="b">
        <f aca="false">FALSE()</f>
        <v>0</v>
      </c>
      <c r="K16" s="32" t="b">
        <f aca="false">FALSE()</f>
        <v>0</v>
      </c>
      <c r="L16" s="7" t="s">
        <v>445</v>
      </c>
      <c r="M16" s="7" t="s">
        <v>452</v>
      </c>
      <c r="N16" s="7" t="s">
        <v>453</v>
      </c>
      <c r="O16" s="7"/>
      <c r="P16" s="7"/>
      <c r="Q16" s="7"/>
      <c r="R16" s="7"/>
    </row>
    <row r="17" customFormat="false" ht="15" hidden="false" customHeight="false" outlineLevel="0" collapsed="false">
      <c r="A17" s="7" t="s">
        <v>462</v>
      </c>
      <c r="B17" s="7" t="s">
        <v>63</v>
      </c>
      <c r="C17" s="7" t="n">
        <v>90429.2</v>
      </c>
      <c r="D17" s="7" t="n">
        <v>90165.6</v>
      </c>
      <c r="E17" s="7" t="n">
        <v>0.0029235096311674</v>
      </c>
      <c r="F17" s="7" t="s">
        <v>450</v>
      </c>
      <c r="G17" s="7" t="s">
        <v>451</v>
      </c>
      <c r="H17" s="7" t="s">
        <v>450</v>
      </c>
      <c r="I17" s="32" t="b">
        <f aca="false">FALSE()</f>
        <v>0</v>
      </c>
      <c r="J17" s="32" t="b">
        <f aca="false">FALSE()</f>
        <v>0</v>
      </c>
      <c r="K17" s="32" t="b">
        <f aca="false">FALSE()</f>
        <v>0</v>
      </c>
      <c r="L17" s="7" t="s">
        <v>445</v>
      </c>
      <c r="M17" s="7" t="s">
        <v>452</v>
      </c>
      <c r="N17" s="7" t="s">
        <v>453</v>
      </c>
      <c r="O17" s="7"/>
      <c r="P17" s="7"/>
      <c r="Q17" s="7"/>
      <c r="R17" s="7"/>
    </row>
    <row r="18" customFormat="false" ht="15" hidden="false" customHeight="false" outlineLevel="0" collapsed="false">
      <c r="A18" s="7" t="s">
        <v>462</v>
      </c>
      <c r="B18" s="7" t="s">
        <v>64</v>
      </c>
      <c r="C18" s="7" t="n">
        <v>90067.8</v>
      </c>
      <c r="D18" s="7" t="n">
        <v>89845.7</v>
      </c>
      <c r="E18" s="7" t="n">
        <v>0.0024720159117242</v>
      </c>
      <c r="F18" s="7" t="s">
        <v>450</v>
      </c>
      <c r="G18" s="7" t="s">
        <v>451</v>
      </c>
      <c r="H18" s="7" t="s">
        <v>450</v>
      </c>
      <c r="I18" s="32" t="b">
        <f aca="false">FALSE()</f>
        <v>0</v>
      </c>
      <c r="J18" s="32" t="b">
        <f aca="false">FALSE()</f>
        <v>0</v>
      </c>
      <c r="K18" s="32" t="b">
        <f aca="false">FALSE()</f>
        <v>0</v>
      </c>
      <c r="L18" s="7" t="s">
        <v>445</v>
      </c>
      <c r="M18" s="7" t="s">
        <v>452</v>
      </c>
      <c r="N18" s="7" t="s">
        <v>453</v>
      </c>
      <c r="O18" s="7"/>
      <c r="P18" s="7"/>
      <c r="Q18" s="7"/>
      <c r="R18" s="7"/>
    </row>
    <row r="19" customFormat="false" ht="15" hidden="false" customHeight="false" outlineLevel="0" collapsed="false">
      <c r="A19" s="7" t="s">
        <v>210</v>
      </c>
      <c r="B19" s="7" t="s">
        <v>63</v>
      </c>
      <c r="C19" s="7" t="n">
        <v>90993.7</v>
      </c>
      <c r="D19" s="7" t="n">
        <v>90866.6</v>
      </c>
      <c r="E19" s="7" t="n">
        <v>0.0013987537775155</v>
      </c>
      <c r="F19" s="7" t="s">
        <v>59</v>
      </c>
      <c r="G19" s="7" t="s">
        <v>444</v>
      </c>
      <c r="H19" s="7" t="s">
        <v>67</v>
      </c>
      <c r="I19" s="32" t="b">
        <f aca="false">TRUE()</f>
        <v>1</v>
      </c>
      <c r="J19" s="32" t="b">
        <f aca="false">FALSE()</f>
        <v>0</v>
      </c>
      <c r="K19" s="32" t="b">
        <f aca="false">FALSE()</f>
        <v>0</v>
      </c>
      <c r="L19" s="7" t="s">
        <v>445</v>
      </c>
      <c r="M19" s="7" t="s">
        <v>446</v>
      </c>
      <c r="N19" s="7" t="s">
        <v>463</v>
      </c>
      <c r="O19" s="7" t="n">
        <v>90693.96</v>
      </c>
      <c r="P19" s="7" t="n">
        <v>91002.9</v>
      </c>
      <c r="Q19" s="7" t="n">
        <v>15.8</v>
      </c>
      <c r="R19" s="7" t="s">
        <v>69</v>
      </c>
    </row>
    <row r="20" customFormat="false" ht="15" hidden="false" customHeight="false" outlineLevel="0" collapsed="false">
      <c r="A20" s="7" t="s">
        <v>210</v>
      </c>
      <c r="B20" s="7" t="s">
        <v>64</v>
      </c>
      <c r="C20" s="7" t="n">
        <v>91000</v>
      </c>
      <c r="D20" s="7" t="n">
        <v>90346.9</v>
      </c>
      <c r="E20" s="7" t="n">
        <v>0.0072288036446187</v>
      </c>
      <c r="F20" s="7" t="s">
        <v>450</v>
      </c>
      <c r="G20" s="7" t="s">
        <v>451</v>
      </c>
      <c r="H20" s="7" t="s">
        <v>450</v>
      </c>
      <c r="I20" s="32" t="b">
        <f aca="false">FALSE()</f>
        <v>0</v>
      </c>
      <c r="J20" s="32" t="b">
        <f aca="false">FALSE()</f>
        <v>0</v>
      </c>
      <c r="K20" s="32" t="b">
        <f aca="false">FALSE()</f>
        <v>0</v>
      </c>
      <c r="L20" s="7" t="s">
        <v>445</v>
      </c>
      <c r="M20" s="7" t="s">
        <v>452</v>
      </c>
      <c r="N20" s="7" t="s">
        <v>453</v>
      </c>
      <c r="O20" s="7"/>
      <c r="P20" s="7"/>
      <c r="Q20" s="7"/>
      <c r="R20" s="7"/>
    </row>
    <row r="21" customFormat="false" ht="15" hidden="false" customHeight="false" outlineLevel="0" collapsed="false">
      <c r="A21" s="7" t="s">
        <v>464</v>
      </c>
      <c r="B21" s="7" t="s">
        <v>63</v>
      </c>
      <c r="C21" s="7" t="n">
        <v>90650.4</v>
      </c>
      <c r="D21" s="7" t="n">
        <v>90562.3</v>
      </c>
      <c r="E21" s="7" t="n">
        <v>0.0009728109820531</v>
      </c>
      <c r="F21" s="7" t="s">
        <v>450</v>
      </c>
      <c r="G21" s="7" t="s">
        <v>451</v>
      </c>
      <c r="H21" s="7" t="s">
        <v>450</v>
      </c>
      <c r="I21" s="32" t="b">
        <f aca="false">FALSE()</f>
        <v>0</v>
      </c>
      <c r="J21" s="32" t="b">
        <f aca="false">FALSE()</f>
        <v>0</v>
      </c>
      <c r="K21" s="32" t="b">
        <f aca="false">FALSE()</f>
        <v>0</v>
      </c>
      <c r="L21" s="7" t="s">
        <v>445</v>
      </c>
      <c r="M21" s="7" t="s">
        <v>452</v>
      </c>
      <c r="N21" s="7" t="s">
        <v>453</v>
      </c>
      <c r="O21" s="7"/>
      <c r="P21" s="7"/>
      <c r="Q21" s="7"/>
      <c r="R21" s="7"/>
    </row>
    <row r="22" customFormat="false" ht="15" hidden="false" customHeight="false" outlineLevel="0" collapsed="false">
      <c r="A22" s="7" t="s">
        <v>464</v>
      </c>
      <c r="B22" s="7" t="s">
        <v>64</v>
      </c>
      <c r="C22" s="7" t="n">
        <v>90694.3</v>
      </c>
      <c r="D22" s="7" t="n">
        <v>90663.8</v>
      </c>
      <c r="E22" s="7" t="n">
        <v>0.0003364076952433</v>
      </c>
      <c r="F22" s="7" t="s">
        <v>450</v>
      </c>
      <c r="G22" s="7" t="s">
        <v>451</v>
      </c>
      <c r="H22" s="7" t="s">
        <v>450</v>
      </c>
      <c r="I22" s="32" t="b">
        <f aca="false">FALSE()</f>
        <v>0</v>
      </c>
      <c r="J22" s="32" t="b">
        <f aca="false">FALSE()</f>
        <v>0</v>
      </c>
      <c r="K22" s="32" t="b">
        <f aca="false">FALSE()</f>
        <v>0</v>
      </c>
      <c r="L22" s="7" t="s">
        <v>445</v>
      </c>
      <c r="M22" s="7" t="s">
        <v>452</v>
      </c>
      <c r="N22" s="7" t="s">
        <v>453</v>
      </c>
      <c r="O22" s="7"/>
      <c r="P22" s="7"/>
      <c r="Q22" s="7"/>
      <c r="R22" s="7"/>
    </row>
    <row r="23" customFormat="false" ht="15" hidden="false" customHeight="false" outlineLevel="0" collapsed="false">
      <c r="A23" s="7" t="s">
        <v>211</v>
      </c>
      <c r="B23" s="7" t="s">
        <v>63</v>
      </c>
      <c r="C23" s="7" t="n">
        <v>90698.9</v>
      </c>
      <c r="D23" s="7" t="n">
        <v>90654.7</v>
      </c>
      <c r="E23" s="7" t="n">
        <v>0.0004875643513242</v>
      </c>
      <c r="F23" s="7" t="s">
        <v>450</v>
      </c>
      <c r="G23" s="7" t="s">
        <v>451</v>
      </c>
      <c r="H23" s="7" t="s">
        <v>450</v>
      </c>
      <c r="I23" s="32" t="b">
        <f aca="false">FALSE()</f>
        <v>0</v>
      </c>
      <c r="J23" s="32" t="b">
        <f aca="false">FALSE()</f>
        <v>0</v>
      </c>
      <c r="K23" s="32" t="b">
        <f aca="false">FALSE()</f>
        <v>0</v>
      </c>
      <c r="L23" s="7" t="s">
        <v>445</v>
      </c>
      <c r="M23" s="7" t="s">
        <v>452</v>
      </c>
      <c r="N23" s="7" t="s">
        <v>453</v>
      </c>
      <c r="O23" s="7"/>
      <c r="P23" s="7"/>
      <c r="Q23" s="7"/>
      <c r="R23" s="7"/>
    </row>
    <row r="24" customFormat="false" ht="15" hidden="false" customHeight="false" outlineLevel="0" collapsed="false">
      <c r="A24" s="7" t="s">
        <v>211</v>
      </c>
      <c r="B24" s="7" t="s">
        <v>64</v>
      </c>
      <c r="C24" s="7" t="n">
        <v>90841.6</v>
      </c>
      <c r="D24" s="7" t="n">
        <v>90780</v>
      </c>
      <c r="E24" s="7" t="n">
        <v>0.0006785635602556</v>
      </c>
      <c r="F24" s="7" t="s">
        <v>60</v>
      </c>
      <c r="G24" s="7" t="s">
        <v>459</v>
      </c>
      <c r="H24" s="7" t="s">
        <v>66</v>
      </c>
      <c r="I24" s="32" t="b">
        <f aca="false">FALSE()</f>
        <v>0</v>
      </c>
      <c r="J24" s="32" t="b">
        <f aca="false">TRUE()</f>
        <v>1</v>
      </c>
      <c r="K24" s="32" t="b">
        <f aca="false">FALSE()</f>
        <v>0</v>
      </c>
      <c r="L24" s="7" t="s">
        <v>445</v>
      </c>
      <c r="M24" s="7" t="s">
        <v>446</v>
      </c>
      <c r="N24" s="7" t="s">
        <v>465</v>
      </c>
      <c r="O24" s="7" t="n">
        <v>90830.06</v>
      </c>
      <c r="P24" s="7" t="n">
        <v>90371.49</v>
      </c>
      <c r="Q24" s="7" t="n">
        <v>15.39</v>
      </c>
      <c r="R24" s="7" t="s">
        <v>69</v>
      </c>
    </row>
    <row r="25" customFormat="false" ht="15" hidden="false" customHeight="false" outlineLevel="0" collapsed="false">
      <c r="A25" s="7" t="s">
        <v>212</v>
      </c>
      <c r="B25" s="7" t="s">
        <v>63</v>
      </c>
      <c r="C25" s="7" t="n">
        <v>91858.5</v>
      </c>
      <c r="D25" s="7" t="n">
        <v>91487.6</v>
      </c>
      <c r="E25" s="7" t="n">
        <v>0.0040541013208346</v>
      </c>
      <c r="F25" s="7" t="s">
        <v>59</v>
      </c>
      <c r="G25" s="7" t="s">
        <v>444</v>
      </c>
      <c r="H25" s="7" t="s">
        <v>67</v>
      </c>
      <c r="I25" s="32" t="b">
        <f aca="false">TRUE()</f>
        <v>1</v>
      </c>
      <c r="J25" s="32" t="b">
        <f aca="false">FALSE()</f>
        <v>0</v>
      </c>
      <c r="K25" s="32" t="b">
        <f aca="false">FALSE()</f>
        <v>0</v>
      </c>
      <c r="L25" s="7" t="s">
        <v>445</v>
      </c>
      <c r="M25" s="7" t="s">
        <v>446</v>
      </c>
      <c r="N25" s="7" t="s">
        <v>466</v>
      </c>
      <c r="O25" s="7" t="n">
        <v>91350.93</v>
      </c>
      <c r="P25" s="7" t="n">
        <v>91624.83</v>
      </c>
      <c r="Q25" s="7" t="n">
        <v>125.9</v>
      </c>
      <c r="R25" s="7" t="s">
        <v>69</v>
      </c>
    </row>
    <row r="26" customFormat="false" ht="15" hidden="false" customHeight="false" outlineLevel="0" collapsed="false">
      <c r="A26" s="7" t="s">
        <v>212</v>
      </c>
      <c r="B26" s="7" t="s">
        <v>64</v>
      </c>
      <c r="C26" s="7" t="n">
        <v>90753.5</v>
      </c>
      <c r="D26" s="7" t="n">
        <v>90555.9</v>
      </c>
      <c r="E26" s="7" t="n">
        <v>0.0021820775896435</v>
      </c>
      <c r="F26" s="7" t="s">
        <v>60</v>
      </c>
      <c r="G26" s="7" t="s">
        <v>459</v>
      </c>
      <c r="H26" s="7" t="s">
        <v>66</v>
      </c>
      <c r="I26" s="32" t="b">
        <f aca="false">FALSE()</f>
        <v>0</v>
      </c>
      <c r="J26" s="32" t="b">
        <f aca="false">TRUE()</f>
        <v>1</v>
      </c>
      <c r="K26" s="32" t="b">
        <f aca="false">FALSE()</f>
        <v>0</v>
      </c>
      <c r="L26" s="7" t="s">
        <v>445</v>
      </c>
      <c r="M26" s="7" t="s">
        <v>446</v>
      </c>
      <c r="N26" s="7" t="s">
        <v>460</v>
      </c>
      <c r="O26" s="7" t="n">
        <v>90614.82</v>
      </c>
      <c r="P26" s="7" t="n">
        <v>90148.4</v>
      </c>
      <c r="Q26" s="7" t="n">
        <v>-104.13</v>
      </c>
      <c r="R26" s="7" t="s">
        <v>70</v>
      </c>
    </row>
    <row r="27" customFormat="false" ht="15" hidden="false" customHeight="false" outlineLevel="0" collapsed="false">
      <c r="A27" s="7" t="s">
        <v>214</v>
      </c>
      <c r="B27" s="7" t="s">
        <v>63</v>
      </c>
      <c r="C27" s="7" t="n">
        <v>92000</v>
      </c>
      <c r="D27" s="7" t="n">
        <v>91898.7</v>
      </c>
      <c r="E27" s="7" t="n">
        <v>0.0011023006854286</v>
      </c>
      <c r="F27" s="7" t="s">
        <v>60</v>
      </c>
      <c r="G27" s="7" t="s">
        <v>459</v>
      </c>
      <c r="H27" s="7" t="s">
        <v>66</v>
      </c>
      <c r="I27" s="32" t="b">
        <f aca="false">FALSE()</f>
        <v>0</v>
      </c>
      <c r="J27" s="32" t="b">
        <f aca="false">TRUE()</f>
        <v>1</v>
      </c>
      <c r="K27" s="32" t="b">
        <f aca="false">FALSE()</f>
        <v>0</v>
      </c>
      <c r="L27" s="7" t="s">
        <v>445</v>
      </c>
      <c r="M27" s="7" t="s">
        <v>446</v>
      </c>
      <c r="N27" s="7" t="s">
        <v>467</v>
      </c>
      <c r="O27" s="7" t="n">
        <v>91926.38</v>
      </c>
      <c r="P27" s="7" t="n">
        <v>91485.16</v>
      </c>
      <c r="Q27" s="7" t="n">
        <v>14.35</v>
      </c>
      <c r="R27" s="7" t="s">
        <v>69</v>
      </c>
    </row>
    <row r="28" customFormat="false" ht="15" hidden="false" customHeight="false" outlineLevel="0" collapsed="false">
      <c r="A28" s="7" t="s">
        <v>214</v>
      </c>
      <c r="B28" s="7" t="s">
        <v>64</v>
      </c>
      <c r="C28" s="7" t="n">
        <v>92555.1</v>
      </c>
      <c r="D28" s="7" t="n">
        <v>91836.3</v>
      </c>
      <c r="E28" s="7" t="n">
        <v>0.0078269703809931</v>
      </c>
      <c r="F28" s="7" t="s">
        <v>60</v>
      </c>
      <c r="G28" s="7" t="s">
        <v>459</v>
      </c>
      <c r="H28" s="7" t="s">
        <v>66</v>
      </c>
      <c r="I28" s="32" t="b">
        <f aca="false">FALSE()</f>
        <v>0</v>
      </c>
      <c r="J28" s="32" t="b">
        <f aca="false">TRUE()</f>
        <v>1</v>
      </c>
      <c r="K28" s="32" t="b">
        <f aca="false">FALSE()</f>
        <v>0</v>
      </c>
      <c r="L28" s="7" t="s">
        <v>445</v>
      </c>
      <c r="M28" s="7" t="s">
        <v>446</v>
      </c>
      <c r="N28" s="7" t="s">
        <v>460</v>
      </c>
      <c r="O28" s="7" t="n">
        <v>91946.99</v>
      </c>
      <c r="P28" s="7" t="n">
        <v>91423.04</v>
      </c>
      <c r="Q28" s="7" t="n">
        <v>71.96</v>
      </c>
      <c r="R28" s="7" t="s">
        <v>69</v>
      </c>
    </row>
    <row r="29" customFormat="false" ht="15" hidden="false" customHeight="false" outlineLevel="0" collapsed="false">
      <c r="A29" s="7" t="s">
        <v>215</v>
      </c>
      <c r="B29" s="7" t="s">
        <v>63</v>
      </c>
      <c r="C29" s="7" t="n">
        <v>95009.7</v>
      </c>
      <c r="D29" s="7" t="n">
        <v>94812</v>
      </c>
      <c r="E29" s="7" t="n">
        <v>0.0020851790912542</v>
      </c>
      <c r="F29" s="7" t="s">
        <v>59</v>
      </c>
      <c r="G29" s="7" t="s">
        <v>444</v>
      </c>
      <c r="H29" s="7" t="s">
        <v>66</v>
      </c>
      <c r="I29" s="32" t="b">
        <f aca="false">TRUE()</f>
        <v>1</v>
      </c>
      <c r="J29" s="32" t="b">
        <f aca="false">FALSE()</f>
        <v>0</v>
      </c>
      <c r="K29" s="32" t="b">
        <f aca="false">FALSE()</f>
        <v>0</v>
      </c>
      <c r="L29" s="7" t="s">
        <v>445</v>
      </c>
      <c r="M29" s="7" t="s">
        <v>446</v>
      </c>
      <c r="N29" s="7" t="s">
        <v>468</v>
      </c>
      <c r="O29" s="7" t="n">
        <v>95185.63</v>
      </c>
      <c r="P29" s="7" t="n">
        <v>94867.19</v>
      </c>
      <c r="Q29" s="7" t="n">
        <v>-118.97</v>
      </c>
      <c r="R29" s="7" t="s">
        <v>70</v>
      </c>
    </row>
    <row r="30" customFormat="false" ht="15" hidden="false" customHeight="false" outlineLevel="0" collapsed="false">
      <c r="A30" s="7" t="s">
        <v>215</v>
      </c>
      <c r="B30" s="7" t="s">
        <v>64</v>
      </c>
      <c r="C30" s="7" t="n">
        <v>95169.8</v>
      </c>
      <c r="D30" s="7" t="n">
        <v>95008</v>
      </c>
      <c r="E30" s="7" t="n">
        <v>0.0017030144829909</v>
      </c>
      <c r="F30" s="7" t="s">
        <v>450</v>
      </c>
      <c r="G30" s="7" t="s">
        <v>451</v>
      </c>
      <c r="H30" s="7" t="s">
        <v>450</v>
      </c>
      <c r="I30" s="32" t="b">
        <f aca="false">FALSE()</f>
        <v>0</v>
      </c>
      <c r="J30" s="32" t="b">
        <f aca="false">FALSE()</f>
        <v>0</v>
      </c>
      <c r="K30" s="32" t="b">
        <f aca="false">FALSE()</f>
        <v>0</v>
      </c>
      <c r="L30" s="7" t="s">
        <v>445</v>
      </c>
      <c r="M30" s="7" t="s">
        <v>452</v>
      </c>
      <c r="N30" s="7" t="s">
        <v>453</v>
      </c>
      <c r="O30" s="7"/>
      <c r="P30" s="7"/>
      <c r="Q30" s="7"/>
      <c r="R30" s="7"/>
    </row>
    <row r="31" customFormat="false" ht="15" hidden="false" customHeight="false" outlineLevel="0" collapsed="false">
      <c r="A31" s="7" t="s">
        <v>216</v>
      </c>
      <c r="B31" s="7" t="s">
        <v>63</v>
      </c>
      <c r="C31" s="7" t="n">
        <v>96744.2</v>
      </c>
      <c r="D31" s="7" t="n">
        <v>96408</v>
      </c>
      <c r="E31" s="7" t="n">
        <v>0.0034872624678449</v>
      </c>
      <c r="F31" s="7" t="s">
        <v>450</v>
      </c>
      <c r="G31" s="7" t="s">
        <v>451</v>
      </c>
      <c r="H31" s="7" t="s">
        <v>450</v>
      </c>
      <c r="I31" s="32" t="b">
        <f aca="false">FALSE()</f>
        <v>0</v>
      </c>
      <c r="J31" s="32" t="b">
        <f aca="false">FALSE()</f>
        <v>0</v>
      </c>
      <c r="K31" s="32" t="b">
        <f aca="false">FALSE()</f>
        <v>0</v>
      </c>
      <c r="L31" s="7" t="s">
        <v>445</v>
      </c>
      <c r="M31" s="7" t="s">
        <v>452</v>
      </c>
      <c r="N31" s="7" t="s">
        <v>453</v>
      </c>
      <c r="O31" s="7"/>
      <c r="P31" s="7"/>
      <c r="Q31" s="7"/>
      <c r="R31" s="7"/>
    </row>
    <row r="32" customFormat="false" ht="15" hidden="false" customHeight="false" outlineLevel="0" collapsed="false">
      <c r="A32" s="7" t="s">
        <v>216</v>
      </c>
      <c r="B32" s="7" t="s">
        <v>64</v>
      </c>
      <c r="C32" s="7" t="n">
        <v>96896.2</v>
      </c>
      <c r="D32" s="7" t="n">
        <v>96562.5</v>
      </c>
      <c r="E32" s="7" t="n">
        <v>0.0034557928802588</v>
      </c>
      <c r="F32" s="7" t="s">
        <v>60</v>
      </c>
      <c r="G32" s="7" t="s">
        <v>448</v>
      </c>
      <c r="H32" s="7" t="s">
        <v>67</v>
      </c>
      <c r="I32" s="32" t="b">
        <f aca="false">FALSE()</f>
        <v>0</v>
      </c>
      <c r="J32" s="32" t="b">
        <f aca="false">TRUE()</f>
        <v>1</v>
      </c>
      <c r="K32" s="32" t="b">
        <f aca="false">FALSE()</f>
        <v>0</v>
      </c>
      <c r="L32" s="7" t="s">
        <v>445</v>
      </c>
      <c r="M32" s="7" t="s">
        <v>446</v>
      </c>
      <c r="N32" s="7" t="s">
        <v>469</v>
      </c>
      <c r="O32" s="7" t="n">
        <v>96781.54</v>
      </c>
      <c r="P32" s="7" t="n">
        <v>97332.23</v>
      </c>
      <c r="Q32" s="7" t="n">
        <v>77.9</v>
      </c>
      <c r="R32" s="7" t="s">
        <v>69</v>
      </c>
    </row>
    <row r="33" customFormat="false" ht="15" hidden="false" customHeight="false" outlineLevel="0" collapsed="false">
      <c r="A33" s="7" t="s">
        <v>217</v>
      </c>
      <c r="B33" s="7" t="s">
        <v>63</v>
      </c>
      <c r="C33" s="7" t="n">
        <v>95548</v>
      </c>
      <c r="D33" s="7" t="n">
        <v>95432.6</v>
      </c>
      <c r="E33" s="7" t="n">
        <v>0.0012092303887769</v>
      </c>
      <c r="F33" s="7" t="s">
        <v>450</v>
      </c>
      <c r="G33" s="7" t="s">
        <v>451</v>
      </c>
      <c r="H33" s="7" t="s">
        <v>450</v>
      </c>
      <c r="I33" s="32" t="b">
        <f aca="false">FALSE()</f>
        <v>0</v>
      </c>
      <c r="J33" s="32" t="b">
        <f aca="false">FALSE()</f>
        <v>0</v>
      </c>
      <c r="K33" s="32" t="b">
        <f aca="false">FALSE()</f>
        <v>0</v>
      </c>
      <c r="L33" s="7" t="s">
        <v>445</v>
      </c>
      <c r="M33" s="7" t="s">
        <v>452</v>
      </c>
      <c r="N33" s="7" t="s">
        <v>453</v>
      </c>
      <c r="O33" s="7"/>
      <c r="P33" s="7"/>
      <c r="Q33" s="7"/>
      <c r="R33" s="7"/>
    </row>
    <row r="34" customFormat="false" ht="15" hidden="false" customHeight="false" outlineLevel="0" collapsed="false">
      <c r="A34" s="7" t="s">
        <v>217</v>
      </c>
      <c r="B34" s="7" t="s">
        <v>64</v>
      </c>
      <c r="C34" s="7" t="n">
        <v>95537.9</v>
      </c>
      <c r="D34" s="7" t="n">
        <v>95238</v>
      </c>
      <c r="E34" s="7" t="n">
        <v>0.003148953148953</v>
      </c>
      <c r="F34" s="7" t="s">
        <v>60</v>
      </c>
      <c r="G34" s="7" t="s">
        <v>448</v>
      </c>
      <c r="H34" s="7" t="s">
        <v>67</v>
      </c>
      <c r="I34" s="32" t="b">
        <f aca="false">FALSE()</f>
        <v>0</v>
      </c>
      <c r="J34" s="32" t="b">
        <f aca="false">TRUE()</f>
        <v>1</v>
      </c>
      <c r="K34" s="32" t="b">
        <f aca="false">FALSE()</f>
        <v>0</v>
      </c>
      <c r="L34" s="7" t="s">
        <v>445</v>
      </c>
      <c r="M34" s="7" t="s">
        <v>446</v>
      </c>
      <c r="N34" s="7" t="s">
        <v>449</v>
      </c>
      <c r="O34" s="7" t="n">
        <v>95385.42</v>
      </c>
      <c r="P34" s="7" t="n">
        <v>95967.82</v>
      </c>
      <c r="Q34" s="7" t="n">
        <v>8.98</v>
      </c>
      <c r="R34" s="7" t="s">
        <v>69</v>
      </c>
    </row>
    <row r="35" customFormat="false" ht="15" hidden="false" customHeight="false" outlineLevel="0" collapsed="false">
      <c r="A35" s="7" t="s">
        <v>218</v>
      </c>
      <c r="B35" s="7" t="s">
        <v>63</v>
      </c>
      <c r="C35" s="7" t="n">
        <v>95147.8</v>
      </c>
      <c r="D35" s="7" t="n">
        <v>95102.2</v>
      </c>
      <c r="E35" s="7" t="n">
        <v>0.0004794841759707</v>
      </c>
      <c r="F35" s="7" t="s">
        <v>59</v>
      </c>
      <c r="G35" s="7" t="s">
        <v>444</v>
      </c>
      <c r="H35" s="7" t="s">
        <v>67</v>
      </c>
      <c r="I35" s="32" t="b">
        <f aca="false">TRUE()</f>
        <v>1</v>
      </c>
      <c r="J35" s="32" t="b">
        <f aca="false">FALSE()</f>
        <v>0</v>
      </c>
      <c r="K35" s="32" t="b">
        <f aca="false">FALSE()</f>
        <v>0</v>
      </c>
      <c r="L35" s="7" t="s">
        <v>445</v>
      </c>
      <c r="M35" s="7" t="s">
        <v>446</v>
      </c>
      <c r="N35" s="7" t="s">
        <v>470</v>
      </c>
      <c r="O35" s="7" t="n">
        <v>95042.09</v>
      </c>
      <c r="P35" s="7" t="n">
        <v>95244.85</v>
      </c>
      <c r="Q35" s="7" t="n">
        <v>-147.73</v>
      </c>
      <c r="R35" s="7" t="s">
        <v>70</v>
      </c>
    </row>
    <row r="36" customFormat="false" ht="15" hidden="false" customHeight="false" outlineLevel="0" collapsed="false">
      <c r="A36" s="7" t="s">
        <v>218</v>
      </c>
      <c r="B36" s="7" t="s">
        <v>64</v>
      </c>
      <c r="C36" s="7" t="n">
        <v>95396.8</v>
      </c>
      <c r="D36" s="7" t="n">
        <v>95276.1</v>
      </c>
      <c r="E36" s="7" t="n">
        <v>0.0012668444657159</v>
      </c>
      <c r="F36" s="7" t="s">
        <v>450</v>
      </c>
      <c r="G36" s="7" t="s">
        <v>451</v>
      </c>
      <c r="H36" s="7" t="s">
        <v>450</v>
      </c>
      <c r="I36" s="32" t="b">
        <f aca="false">FALSE()</f>
        <v>0</v>
      </c>
      <c r="J36" s="32" t="b">
        <f aca="false">FALSE()</f>
        <v>0</v>
      </c>
      <c r="K36" s="32" t="b">
        <f aca="false">FALSE()</f>
        <v>0</v>
      </c>
      <c r="L36" s="7" t="s">
        <v>445</v>
      </c>
      <c r="M36" s="7" t="s">
        <v>452</v>
      </c>
      <c r="N36" s="7" t="s">
        <v>453</v>
      </c>
      <c r="O36" s="7"/>
      <c r="P36" s="7"/>
      <c r="Q36" s="7"/>
      <c r="R36" s="7"/>
    </row>
    <row r="37" customFormat="false" ht="15" hidden="false" customHeight="false" outlineLevel="0" collapsed="false">
      <c r="A37" s="7" t="s">
        <v>219</v>
      </c>
      <c r="B37" s="7" t="s">
        <v>63</v>
      </c>
      <c r="C37" s="7" t="n">
        <v>95073</v>
      </c>
      <c r="D37" s="7" t="n">
        <v>94980</v>
      </c>
      <c r="E37" s="7" t="n">
        <v>0.0009791535060012</v>
      </c>
      <c r="F37" s="7" t="s">
        <v>60</v>
      </c>
      <c r="G37" s="7" t="s">
        <v>448</v>
      </c>
      <c r="H37" s="7" t="s">
        <v>67</v>
      </c>
      <c r="I37" s="32" t="b">
        <f aca="false">FALSE()</f>
        <v>0</v>
      </c>
      <c r="J37" s="32" t="b">
        <f aca="false">TRUE()</f>
        <v>1</v>
      </c>
      <c r="K37" s="32" t="b">
        <f aca="false">FALSE()</f>
        <v>0</v>
      </c>
      <c r="L37" s="7" t="s">
        <v>445</v>
      </c>
      <c r="M37" s="7" t="s">
        <v>446</v>
      </c>
      <c r="N37" s="7" t="s">
        <v>469</v>
      </c>
      <c r="O37" s="7" t="n">
        <v>94970.9</v>
      </c>
      <c r="P37" s="7" t="n">
        <v>95500.83</v>
      </c>
      <c r="Q37" s="7" t="n">
        <v>-29.29</v>
      </c>
      <c r="R37" s="7" t="s">
        <v>71</v>
      </c>
    </row>
    <row r="38" customFormat="false" ht="15" hidden="false" customHeight="false" outlineLevel="0" collapsed="false">
      <c r="A38" s="7" t="s">
        <v>219</v>
      </c>
      <c r="B38" s="7" t="s">
        <v>64</v>
      </c>
      <c r="C38" s="7" t="n">
        <v>95158</v>
      </c>
      <c r="D38" s="7" t="n">
        <v>94903.5</v>
      </c>
      <c r="E38" s="7" t="n">
        <v>0.0026816713819827</v>
      </c>
      <c r="F38" s="7" t="s">
        <v>60</v>
      </c>
      <c r="G38" s="7" t="s">
        <v>448</v>
      </c>
      <c r="H38" s="7" t="s">
        <v>67</v>
      </c>
      <c r="I38" s="32" t="b">
        <f aca="false">FALSE()</f>
        <v>0</v>
      </c>
      <c r="J38" s="32" t="b">
        <f aca="false">TRUE()</f>
        <v>1</v>
      </c>
      <c r="K38" s="32" t="b">
        <f aca="false">FALSE()</f>
        <v>0</v>
      </c>
      <c r="L38" s="7" t="s">
        <v>445</v>
      </c>
      <c r="M38" s="7" t="s">
        <v>446</v>
      </c>
      <c r="N38" s="7" t="s">
        <v>469</v>
      </c>
      <c r="O38" s="7" t="n">
        <v>95085.98</v>
      </c>
      <c r="P38" s="7" t="n">
        <v>95586.21</v>
      </c>
      <c r="Q38" s="7" t="n">
        <v>-72.48</v>
      </c>
      <c r="R38" s="7" t="s">
        <v>71</v>
      </c>
    </row>
    <row r="39" customFormat="false" ht="15" hidden="false" customHeight="false" outlineLevel="0" collapsed="false">
      <c r="A39" s="7" t="s">
        <v>220</v>
      </c>
      <c r="B39" s="7" t="s">
        <v>63</v>
      </c>
      <c r="C39" s="7" t="n">
        <v>92665.1</v>
      </c>
      <c r="D39" s="7" t="n">
        <v>92527.3</v>
      </c>
      <c r="E39" s="7" t="n">
        <v>0.0014892901878689</v>
      </c>
      <c r="F39" s="7" t="s">
        <v>59</v>
      </c>
      <c r="G39" s="7" t="s">
        <v>444</v>
      </c>
      <c r="H39" s="7" t="s">
        <v>66</v>
      </c>
      <c r="I39" s="32" t="b">
        <f aca="false">TRUE()</f>
        <v>1</v>
      </c>
      <c r="J39" s="32" t="b">
        <f aca="false">FALSE()</f>
        <v>0</v>
      </c>
      <c r="K39" s="32" t="b">
        <f aca="false">FALSE()</f>
        <v>0</v>
      </c>
      <c r="L39" s="7" t="s">
        <v>445</v>
      </c>
      <c r="M39" s="7" t="s">
        <v>446</v>
      </c>
      <c r="N39" s="7" t="s">
        <v>471</v>
      </c>
      <c r="O39" s="7" t="n">
        <v>92806.36</v>
      </c>
      <c r="P39" s="7" t="n">
        <v>92526.1</v>
      </c>
      <c r="Q39" s="7" t="n">
        <v>35.04</v>
      </c>
      <c r="R39" s="7" t="s">
        <v>69</v>
      </c>
    </row>
    <row r="40" customFormat="false" ht="15" hidden="false" customHeight="false" outlineLevel="0" collapsed="false">
      <c r="A40" s="7" t="s">
        <v>220</v>
      </c>
      <c r="B40" s="7" t="s">
        <v>64</v>
      </c>
      <c r="C40" s="7" t="n">
        <v>93117.1</v>
      </c>
      <c r="D40" s="7" t="n">
        <v>92906.2</v>
      </c>
      <c r="E40" s="7" t="n">
        <v>0.0022700314941307</v>
      </c>
      <c r="F40" s="7" t="s">
        <v>450</v>
      </c>
      <c r="G40" s="7" t="s">
        <v>451</v>
      </c>
      <c r="H40" s="7" t="s">
        <v>450</v>
      </c>
      <c r="I40" s="32" t="b">
        <f aca="false">FALSE()</f>
        <v>0</v>
      </c>
      <c r="J40" s="32" t="b">
        <f aca="false">FALSE()</f>
        <v>0</v>
      </c>
      <c r="K40" s="32" t="b">
        <f aca="false">FALSE()</f>
        <v>0</v>
      </c>
      <c r="L40" s="7" t="s">
        <v>445</v>
      </c>
      <c r="M40" s="7" t="s">
        <v>452</v>
      </c>
      <c r="N40" s="7" t="s">
        <v>453</v>
      </c>
      <c r="O40" s="7"/>
      <c r="P40" s="7"/>
      <c r="Q40" s="7"/>
      <c r="R40" s="7"/>
    </row>
    <row r="41" customFormat="false" ht="15" hidden="false" customHeight="false" outlineLevel="0" collapsed="false">
      <c r="A41" s="7" t="s">
        <v>221</v>
      </c>
      <c r="B41" s="7" t="s">
        <v>63</v>
      </c>
      <c r="C41" s="7" t="n">
        <v>91184.1</v>
      </c>
      <c r="D41" s="7" t="n">
        <v>90950</v>
      </c>
      <c r="E41" s="7" t="n">
        <v>0.0025739417262232</v>
      </c>
      <c r="F41" s="7" t="s">
        <v>60</v>
      </c>
      <c r="G41" s="7" t="s">
        <v>448</v>
      </c>
      <c r="H41" s="7" t="s">
        <v>67</v>
      </c>
      <c r="I41" s="32" t="b">
        <f aca="false">FALSE()</f>
        <v>0</v>
      </c>
      <c r="J41" s="32" t="b">
        <f aca="false">TRUE()</f>
        <v>1</v>
      </c>
      <c r="K41" s="32" t="b">
        <f aca="false">FALSE()</f>
        <v>0</v>
      </c>
      <c r="L41" s="7" t="s">
        <v>445</v>
      </c>
      <c r="M41" s="7" t="s">
        <v>446</v>
      </c>
      <c r="N41" s="7" t="s">
        <v>449</v>
      </c>
      <c r="O41" s="7" t="n">
        <v>91117.87</v>
      </c>
      <c r="P41" s="7" t="n">
        <v>91594.43</v>
      </c>
      <c r="Q41" s="7" t="n">
        <v>19.89</v>
      </c>
      <c r="R41" s="7" t="s">
        <v>69</v>
      </c>
    </row>
    <row r="42" customFormat="false" ht="15" hidden="false" customHeight="false" outlineLevel="0" collapsed="false">
      <c r="A42" s="7" t="s">
        <v>221</v>
      </c>
      <c r="B42" s="7" t="s">
        <v>64</v>
      </c>
      <c r="C42" s="7" t="n">
        <v>91078.4</v>
      </c>
      <c r="D42" s="7" t="n">
        <v>90735</v>
      </c>
      <c r="E42" s="7" t="n">
        <v>0.0037846476001542</v>
      </c>
      <c r="F42" s="7" t="s">
        <v>60</v>
      </c>
      <c r="G42" s="7" t="s">
        <v>459</v>
      </c>
      <c r="H42" s="7" t="s">
        <v>66</v>
      </c>
      <c r="I42" s="32" t="b">
        <f aca="false">FALSE()</f>
        <v>0</v>
      </c>
      <c r="J42" s="32" t="b">
        <f aca="false">TRUE()</f>
        <v>1</v>
      </c>
      <c r="K42" s="32" t="b">
        <f aca="false">FALSE()</f>
        <v>0</v>
      </c>
      <c r="L42" s="7" t="s">
        <v>445</v>
      </c>
      <c r="M42" s="7" t="s">
        <v>446</v>
      </c>
      <c r="N42" s="7" t="s">
        <v>460</v>
      </c>
      <c r="O42" s="7" t="n">
        <v>90964.89</v>
      </c>
      <c r="P42" s="7" t="n">
        <v>90326.69</v>
      </c>
      <c r="Q42" s="7" t="n">
        <v>8.34</v>
      </c>
      <c r="R42" s="7" t="s">
        <v>69</v>
      </c>
    </row>
    <row r="43" customFormat="false" ht="15" hidden="false" customHeight="false" outlineLevel="0" collapsed="false">
      <c r="A43" s="7" t="s">
        <v>222</v>
      </c>
      <c r="B43" s="7" t="s">
        <v>63</v>
      </c>
      <c r="C43" s="7" t="n">
        <v>89585.7</v>
      </c>
      <c r="D43" s="7" t="n">
        <v>89125.1</v>
      </c>
      <c r="E43" s="7" t="n">
        <v>0.0051680166417764</v>
      </c>
      <c r="F43" s="7" t="s">
        <v>60</v>
      </c>
      <c r="G43" s="7" t="s">
        <v>459</v>
      </c>
      <c r="H43" s="7" t="s">
        <v>66</v>
      </c>
      <c r="I43" s="32" t="b">
        <f aca="false">FALSE()</f>
        <v>0</v>
      </c>
      <c r="J43" s="32" t="b">
        <f aca="false">TRUE()</f>
        <v>1</v>
      </c>
      <c r="K43" s="32" t="b">
        <f aca="false">FALSE()</f>
        <v>0</v>
      </c>
      <c r="L43" s="7" t="s">
        <v>445</v>
      </c>
      <c r="M43" s="7" t="s">
        <v>446</v>
      </c>
      <c r="N43" s="7" t="s">
        <v>467</v>
      </c>
      <c r="O43" s="7" t="n">
        <v>89189.13</v>
      </c>
      <c r="P43" s="7" t="n">
        <v>88724.04</v>
      </c>
      <c r="Q43" s="7" t="n">
        <v>11.11</v>
      </c>
      <c r="R43" s="7" t="s">
        <v>69</v>
      </c>
    </row>
    <row r="44" customFormat="false" ht="15" hidden="false" customHeight="false" outlineLevel="0" collapsed="false">
      <c r="A44" s="7" t="s">
        <v>222</v>
      </c>
      <c r="B44" s="7" t="s">
        <v>64</v>
      </c>
      <c r="C44" s="7" t="n">
        <v>88999.1</v>
      </c>
      <c r="D44" s="7" t="n">
        <v>88636.2</v>
      </c>
      <c r="E44" s="7" t="n">
        <v>0.0040942639688976</v>
      </c>
      <c r="F44" s="7" t="s">
        <v>450</v>
      </c>
      <c r="G44" s="7" t="s">
        <v>451</v>
      </c>
      <c r="H44" s="7" t="s">
        <v>450</v>
      </c>
      <c r="I44" s="32" t="b">
        <f aca="false">FALSE()</f>
        <v>0</v>
      </c>
      <c r="J44" s="32" t="b">
        <f aca="false">FALSE()</f>
        <v>0</v>
      </c>
      <c r="K44" s="32" t="b">
        <f aca="false">FALSE()</f>
        <v>0</v>
      </c>
      <c r="L44" s="7" t="s">
        <v>445</v>
      </c>
      <c r="M44" s="7" t="s">
        <v>452</v>
      </c>
      <c r="N44" s="7" t="s">
        <v>453</v>
      </c>
      <c r="O44" s="7"/>
      <c r="P44" s="7"/>
      <c r="Q44" s="7"/>
      <c r="R44" s="7"/>
    </row>
    <row r="45" customFormat="false" ht="15" hidden="false" customHeight="false" outlineLevel="0" collapsed="false">
      <c r="A45" s="7" t="s">
        <v>223</v>
      </c>
      <c r="B45" s="7" t="s">
        <v>63</v>
      </c>
      <c r="C45" s="7" t="n">
        <v>89942.5</v>
      </c>
      <c r="D45" s="7" t="n">
        <v>89840.7</v>
      </c>
      <c r="E45" s="7" t="n">
        <v>0.0011331167277192</v>
      </c>
      <c r="F45" s="7" t="s">
        <v>450</v>
      </c>
      <c r="G45" s="7" t="s">
        <v>451</v>
      </c>
      <c r="H45" s="7" t="s">
        <v>450</v>
      </c>
      <c r="I45" s="32" t="b">
        <f aca="false">FALSE()</f>
        <v>0</v>
      </c>
      <c r="J45" s="32" t="b">
        <f aca="false">FALSE()</f>
        <v>0</v>
      </c>
      <c r="K45" s="32" t="b">
        <f aca="false">FALSE()</f>
        <v>0</v>
      </c>
      <c r="L45" s="7" t="s">
        <v>445</v>
      </c>
      <c r="M45" s="7" t="s">
        <v>452</v>
      </c>
      <c r="N45" s="7" t="s">
        <v>453</v>
      </c>
      <c r="O45" s="7"/>
      <c r="P45" s="7"/>
      <c r="Q45" s="7"/>
      <c r="R45" s="7"/>
    </row>
    <row r="46" customFormat="false" ht="15" hidden="false" customHeight="false" outlineLevel="0" collapsed="false">
      <c r="A46" s="7" t="s">
        <v>223</v>
      </c>
      <c r="B46" s="7" t="s">
        <v>64</v>
      </c>
      <c r="C46" s="7" t="n">
        <v>90309.5</v>
      </c>
      <c r="D46" s="7" t="n">
        <v>89500.1</v>
      </c>
      <c r="E46" s="7" t="n">
        <v>0.009043565314452</v>
      </c>
      <c r="F46" s="7" t="s">
        <v>60</v>
      </c>
      <c r="G46" s="7" t="s">
        <v>459</v>
      </c>
      <c r="H46" s="7" t="s">
        <v>66</v>
      </c>
      <c r="I46" s="32" t="b">
        <f aca="false">FALSE()</f>
        <v>0</v>
      </c>
      <c r="J46" s="32" t="b">
        <f aca="false">TRUE()</f>
        <v>1</v>
      </c>
      <c r="K46" s="32" t="b">
        <f aca="false">FALSE()</f>
        <v>0</v>
      </c>
      <c r="L46" s="7" t="s">
        <v>445</v>
      </c>
      <c r="M46" s="7" t="s">
        <v>446</v>
      </c>
      <c r="N46" s="7" t="s">
        <v>467</v>
      </c>
      <c r="O46" s="7" t="n">
        <v>89587.91</v>
      </c>
      <c r="P46" s="7" t="n">
        <v>89097.35</v>
      </c>
      <c r="Q46" s="7" t="n">
        <v>-108.18</v>
      </c>
      <c r="R46" s="7" t="s">
        <v>70</v>
      </c>
    </row>
    <row r="47" customFormat="false" ht="15" hidden="false" customHeight="false" outlineLevel="0" collapsed="false">
      <c r="A47" s="7" t="s">
        <v>224</v>
      </c>
      <c r="B47" s="7" t="s">
        <v>63</v>
      </c>
      <c r="C47" s="7" t="n">
        <v>89640.8</v>
      </c>
      <c r="D47" s="7" t="n">
        <v>89502.4</v>
      </c>
      <c r="E47" s="7" t="n">
        <v>0.0015463272493252</v>
      </c>
      <c r="F47" s="7" t="s">
        <v>450</v>
      </c>
      <c r="G47" s="7" t="s">
        <v>451</v>
      </c>
      <c r="H47" s="7" t="s">
        <v>450</v>
      </c>
      <c r="I47" s="32" t="b">
        <f aca="false">FALSE()</f>
        <v>0</v>
      </c>
      <c r="J47" s="32" t="b">
        <f aca="false">FALSE()</f>
        <v>0</v>
      </c>
      <c r="K47" s="32" t="b">
        <f aca="false">FALSE()</f>
        <v>0</v>
      </c>
      <c r="L47" s="7" t="s">
        <v>445</v>
      </c>
      <c r="M47" s="7" t="s">
        <v>452</v>
      </c>
      <c r="N47" s="7" t="s">
        <v>453</v>
      </c>
      <c r="O47" s="7"/>
      <c r="P47" s="7"/>
      <c r="Q47" s="7"/>
      <c r="R47" s="7"/>
    </row>
    <row r="48" customFormat="false" ht="15" hidden="false" customHeight="false" outlineLevel="0" collapsed="false">
      <c r="A48" s="7" t="s">
        <v>224</v>
      </c>
      <c r="B48" s="7" t="s">
        <v>64</v>
      </c>
      <c r="C48" s="7" t="n">
        <v>89322</v>
      </c>
      <c r="D48" s="7" t="n">
        <v>89202.1</v>
      </c>
      <c r="E48" s="7" t="n">
        <v>0.001344138759065</v>
      </c>
      <c r="F48" s="7" t="s">
        <v>60</v>
      </c>
      <c r="G48" s="7" t="s">
        <v>448</v>
      </c>
      <c r="H48" s="7" t="s">
        <v>67</v>
      </c>
      <c r="I48" s="32" t="b">
        <f aca="false">FALSE()</f>
        <v>0</v>
      </c>
      <c r="J48" s="32" t="b">
        <f aca="false">TRUE()</f>
        <v>1</v>
      </c>
      <c r="K48" s="32" t="b">
        <f aca="false">FALSE()</f>
        <v>0</v>
      </c>
      <c r="L48" s="7" t="s">
        <v>445</v>
      </c>
      <c r="M48" s="7" t="s">
        <v>446</v>
      </c>
      <c r="N48" s="7" t="s">
        <v>449</v>
      </c>
      <c r="O48" s="7" t="n">
        <v>89292.64</v>
      </c>
      <c r="P48" s="7" t="n">
        <v>89723.95</v>
      </c>
      <c r="Q48" s="7" t="n">
        <v>49.5</v>
      </c>
      <c r="R48" s="7" t="s">
        <v>69</v>
      </c>
    </row>
    <row r="49" customFormat="false" ht="15" hidden="false" customHeight="false" outlineLevel="0" collapsed="false">
      <c r="A49" s="7" t="s">
        <v>225</v>
      </c>
      <c r="B49" s="7" t="s">
        <v>63</v>
      </c>
      <c r="C49" s="7" t="n">
        <v>89650.6</v>
      </c>
      <c r="D49" s="7" t="n">
        <v>89560.5</v>
      </c>
      <c r="E49" s="7" t="n">
        <v>0.0010060238609655</v>
      </c>
      <c r="F49" s="7" t="s">
        <v>60</v>
      </c>
      <c r="G49" s="7" t="s">
        <v>448</v>
      </c>
      <c r="H49" s="7" t="s">
        <v>67</v>
      </c>
      <c r="I49" s="32" t="b">
        <f aca="false">FALSE()</f>
        <v>0</v>
      </c>
      <c r="J49" s="32" t="b">
        <f aca="false">TRUE()</f>
        <v>1</v>
      </c>
      <c r="K49" s="32" t="b">
        <f aca="false">FALSE()</f>
        <v>0</v>
      </c>
      <c r="L49" s="7" t="s">
        <v>445</v>
      </c>
      <c r="M49" s="7" t="s">
        <v>446</v>
      </c>
      <c r="N49" s="7" t="s">
        <v>472</v>
      </c>
      <c r="O49" s="7" t="n">
        <v>89563.38</v>
      </c>
      <c r="P49" s="7" t="n">
        <v>90054.03</v>
      </c>
      <c r="Q49" s="7" t="n">
        <v>-11.24</v>
      </c>
      <c r="R49" s="7" t="s">
        <v>71</v>
      </c>
    </row>
    <row r="50" customFormat="false" ht="15" hidden="false" customHeight="false" outlineLevel="0" collapsed="false">
      <c r="A50" s="7" t="s">
        <v>225</v>
      </c>
      <c r="B50" s="7" t="s">
        <v>64</v>
      </c>
      <c r="C50" s="7" t="n">
        <v>89498.1</v>
      </c>
      <c r="D50" s="7" t="n">
        <v>89474</v>
      </c>
      <c r="E50" s="7" t="n">
        <v>0.0002693519905224</v>
      </c>
      <c r="F50" s="7" t="s">
        <v>59</v>
      </c>
      <c r="G50" s="7" t="s">
        <v>444</v>
      </c>
      <c r="H50" s="7" t="s">
        <v>67</v>
      </c>
      <c r="I50" s="32" t="b">
        <f aca="false">TRUE()</f>
        <v>1</v>
      </c>
      <c r="J50" s="32" t="b">
        <f aca="false">FALSE()</f>
        <v>0</v>
      </c>
      <c r="K50" s="32" t="b">
        <f aca="false">FALSE()</f>
        <v>0</v>
      </c>
      <c r="L50" s="7" t="s">
        <v>445</v>
      </c>
      <c r="M50" s="7" t="s">
        <v>446</v>
      </c>
      <c r="N50" s="7" t="s">
        <v>473</v>
      </c>
      <c r="O50" s="7" t="n">
        <v>89303.84</v>
      </c>
      <c r="P50" s="7" t="n">
        <v>89608.21</v>
      </c>
      <c r="Q50" s="7" t="n">
        <v>-2.15</v>
      </c>
      <c r="R50" s="7" t="s">
        <v>69</v>
      </c>
    </row>
    <row r="51" customFormat="false" ht="15" hidden="false" customHeight="false" outlineLevel="0" collapsed="false">
      <c r="A51" s="7" t="s">
        <v>226</v>
      </c>
      <c r="B51" s="7" t="s">
        <v>63</v>
      </c>
      <c r="C51" s="7" t="n">
        <v>88759.1</v>
      </c>
      <c r="D51" s="7" t="n">
        <v>88690.8</v>
      </c>
      <c r="E51" s="7" t="n">
        <v>0.0007700911481236</v>
      </c>
      <c r="F51" s="7" t="s">
        <v>59</v>
      </c>
      <c r="G51" s="7" t="s">
        <v>444</v>
      </c>
      <c r="H51" s="7" t="s">
        <v>67</v>
      </c>
      <c r="I51" s="32" t="b">
        <f aca="false">TRUE()</f>
        <v>1</v>
      </c>
      <c r="J51" s="32" t="b">
        <f aca="false">FALSE()</f>
        <v>0</v>
      </c>
      <c r="K51" s="32" t="b">
        <f aca="false">FALSE()</f>
        <v>0</v>
      </c>
      <c r="L51" s="7" t="s">
        <v>445</v>
      </c>
      <c r="M51" s="7" t="s">
        <v>446</v>
      </c>
      <c r="N51" s="7" t="s">
        <v>474</v>
      </c>
      <c r="O51" s="7" t="n">
        <v>88612.57</v>
      </c>
      <c r="P51" s="7" t="n">
        <v>88823.84</v>
      </c>
      <c r="Q51" s="7" t="n">
        <v>78.47</v>
      </c>
      <c r="R51" s="7" t="s">
        <v>69</v>
      </c>
    </row>
    <row r="52" customFormat="false" ht="15" hidden="false" customHeight="false" outlineLevel="0" collapsed="false">
      <c r="A52" s="7" t="s">
        <v>226</v>
      </c>
      <c r="B52" s="7" t="s">
        <v>64</v>
      </c>
      <c r="C52" s="7" t="n">
        <v>88812.6</v>
      </c>
      <c r="D52" s="7" t="n">
        <v>88610</v>
      </c>
      <c r="E52" s="7" t="n">
        <v>0.0022864236542151</v>
      </c>
      <c r="F52" s="7" t="s">
        <v>59</v>
      </c>
      <c r="G52" s="7" t="s">
        <v>444</v>
      </c>
      <c r="H52" s="7" t="s">
        <v>66</v>
      </c>
      <c r="I52" s="32" t="b">
        <f aca="false">TRUE()</f>
        <v>1</v>
      </c>
      <c r="J52" s="32" t="b">
        <f aca="false">FALSE()</f>
        <v>0</v>
      </c>
      <c r="K52" s="32" t="b">
        <f aca="false">FALSE()</f>
        <v>0</v>
      </c>
      <c r="L52" s="7" t="s">
        <v>445</v>
      </c>
      <c r="M52" s="7" t="s">
        <v>446</v>
      </c>
      <c r="N52" s="7" t="s">
        <v>475</v>
      </c>
      <c r="O52" s="7" t="n">
        <v>88892.88</v>
      </c>
      <c r="P52" s="7" t="n">
        <v>88679.38</v>
      </c>
      <c r="Q52" s="7" t="n">
        <v>-148.02</v>
      </c>
      <c r="R52" s="7" t="s">
        <v>70</v>
      </c>
    </row>
    <row r="53" customFormat="false" ht="15" hidden="false" customHeight="false" outlineLevel="0" collapsed="false">
      <c r="A53" s="7" t="s">
        <v>227</v>
      </c>
      <c r="B53" s="7" t="s">
        <v>63</v>
      </c>
      <c r="C53" s="7" t="n">
        <v>87990.4</v>
      </c>
      <c r="D53" s="7" t="n">
        <v>87665.6</v>
      </c>
      <c r="E53" s="7" t="n">
        <v>0.0037049880454817</v>
      </c>
      <c r="F53" s="7" t="s">
        <v>60</v>
      </c>
      <c r="G53" s="7" t="s">
        <v>448</v>
      </c>
      <c r="H53" s="7" t="s">
        <v>67</v>
      </c>
      <c r="I53" s="32" t="b">
        <f aca="false">FALSE()</f>
        <v>0</v>
      </c>
      <c r="J53" s="32" t="b">
        <f aca="false">TRUE()</f>
        <v>1</v>
      </c>
      <c r="K53" s="32" t="b">
        <f aca="false">FALSE()</f>
        <v>0</v>
      </c>
      <c r="L53" s="7" t="s">
        <v>445</v>
      </c>
      <c r="M53" s="7" t="s">
        <v>446</v>
      </c>
      <c r="N53" s="7" t="s">
        <v>476</v>
      </c>
      <c r="O53" s="7" t="n">
        <v>87862.42</v>
      </c>
      <c r="P53" s="7" t="n">
        <v>88386.36</v>
      </c>
      <c r="Q53" s="7" t="n">
        <v>16.77</v>
      </c>
      <c r="R53" s="7" t="s">
        <v>69</v>
      </c>
    </row>
    <row r="54" customFormat="false" ht="15" hidden="false" customHeight="false" outlineLevel="0" collapsed="false">
      <c r="A54" s="7" t="s">
        <v>227</v>
      </c>
      <c r="B54" s="7" t="s">
        <v>64</v>
      </c>
      <c r="C54" s="7" t="n">
        <v>88010.3</v>
      </c>
      <c r="D54" s="7" t="n">
        <v>87832.3</v>
      </c>
      <c r="E54" s="7" t="n">
        <v>0.0020265893071227</v>
      </c>
      <c r="F54" s="7" t="s">
        <v>450</v>
      </c>
      <c r="G54" s="7" t="s">
        <v>451</v>
      </c>
      <c r="H54" s="7" t="s">
        <v>450</v>
      </c>
      <c r="I54" s="32" t="b">
        <f aca="false">FALSE()</f>
        <v>0</v>
      </c>
      <c r="J54" s="32" t="b">
        <f aca="false">FALSE()</f>
        <v>0</v>
      </c>
      <c r="K54" s="32" t="b">
        <f aca="false">FALSE()</f>
        <v>0</v>
      </c>
      <c r="L54" s="7" t="s">
        <v>445</v>
      </c>
      <c r="M54" s="7" t="s">
        <v>452</v>
      </c>
      <c r="N54" s="7" t="s">
        <v>453</v>
      </c>
      <c r="O54" s="7"/>
      <c r="P54" s="7"/>
      <c r="Q54" s="7"/>
      <c r="R54" s="7"/>
    </row>
    <row r="55" customFormat="false" ht="15" hidden="false" customHeight="false" outlineLevel="0" collapsed="false">
      <c r="A55" s="7" t="s">
        <v>228</v>
      </c>
      <c r="B55" s="7" t="s">
        <v>63</v>
      </c>
      <c r="C55" s="7" t="n">
        <v>88519.5</v>
      </c>
      <c r="D55" s="7" t="n">
        <v>88414</v>
      </c>
      <c r="E55" s="7" t="n">
        <v>0.0011932499377926</v>
      </c>
      <c r="F55" s="7" t="s">
        <v>59</v>
      </c>
      <c r="G55" s="7" t="s">
        <v>444</v>
      </c>
      <c r="H55" s="7" t="s">
        <v>67</v>
      </c>
      <c r="I55" s="32" t="b">
        <f aca="false">TRUE()</f>
        <v>1</v>
      </c>
      <c r="J55" s="32" t="b">
        <f aca="false">FALSE()</f>
        <v>0</v>
      </c>
      <c r="K55" s="32" t="b">
        <f aca="false">FALSE()</f>
        <v>0</v>
      </c>
      <c r="L55" s="7" t="s">
        <v>445</v>
      </c>
      <c r="M55" s="7" t="s">
        <v>446</v>
      </c>
      <c r="N55" s="7" t="s">
        <v>477</v>
      </c>
      <c r="O55" s="7" t="n">
        <v>88270.34</v>
      </c>
      <c r="P55" s="7" t="n">
        <v>88546.62</v>
      </c>
      <c r="Q55" s="7" t="n">
        <v>24.77</v>
      </c>
      <c r="R55" s="7" t="s">
        <v>69</v>
      </c>
    </row>
    <row r="56" customFormat="false" ht="15" hidden="false" customHeight="false" outlineLevel="0" collapsed="false">
      <c r="A56" s="7" t="s">
        <v>228</v>
      </c>
      <c r="B56" s="7" t="s">
        <v>64</v>
      </c>
      <c r="C56" s="7" t="n">
        <v>88042.6</v>
      </c>
      <c r="D56" s="7" t="n">
        <v>87764.7</v>
      </c>
      <c r="E56" s="7" t="n">
        <v>0.0031664211237548</v>
      </c>
      <c r="F56" s="7" t="s">
        <v>450</v>
      </c>
      <c r="G56" s="7" t="s">
        <v>451</v>
      </c>
      <c r="H56" s="7" t="s">
        <v>450</v>
      </c>
      <c r="I56" s="32" t="b">
        <f aca="false">FALSE()</f>
        <v>0</v>
      </c>
      <c r="J56" s="32" t="b">
        <f aca="false">FALSE()</f>
        <v>0</v>
      </c>
      <c r="K56" s="32" t="b">
        <f aca="false">FALSE()</f>
        <v>0</v>
      </c>
      <c r="L56" s="7" t="s">
        <v>445</v>
      </c>
      <c r="M56" s="7" t="s">
        <v>452</v>
      </c>
      <c r="N56" s="7" t="s">
        <v>453</v>
      </c>
      <c r="O56" s="7"/>
      <c r="P56" s="7"/>
      <c r="Q56" s="7"/>
      <c r="R56" s="7"/>
    </row>
    <row r="57" customFormat="false" ht="15" hidden="false" customHeight="false" outlineLevel="0" collapsed="false">
      <c r="A57" s="7" t="s">
        <v>478</v>
      </c>
      <c r="B57" s="7" t="s">
        <v>63</v>
      </c>
      <c r="C57" s="7" t="n">
        <v>89239.6</v>
      </c>
      <c r="D57" s="7" t="n">
        <v>89127.3</v>
      </c>
      <c r="E57" s="7" t="n">
        <v>0.0012599955344771</v>
      </c>
      <c r="F57" s="7" t="s">
        <v>450</v>
      </c>
      <c r="G57" s="7" t="s">
        <v>451</v>
      </c>
      <c r="H57" s="7" t="s">
        <v>450</v>
      </c>
      <c r="I57" s="32" t="b">
        <f aca="false">FALSE()</f>
        <v>0</v>
      </c>
      <c r="J57" s="32" t="b">
        <f aca="false">FALSE()</f>
        <v>0</v>
      </c>
      <c r="K57" s="32" t="b">
        <f aca="false">FALSE()</f>
        <v>0</v>
      </c>
      <c r="L57" s="7" t="s">
        <v>445</v>
      </c>
      <c r="M57" s="7" t="s">
        <v>452</v>
      </c>
      <c r="N57" s="7" t="s">
        <v>453</v>
      </c>
      <c r="O57" s="7"/>
      <c r="P57" s="7"/>
      <c r="Q57" s="7"/>
      <c r="R57" s="7"/>
    </row>
    <row r="58" customFormat="false" ht="15" hidden="false" customHeight="false" outlineLevel="0" collapsed="false">
      <c r="A58" s="7" t="s">
        <v>478</v>
      </c>
      <c r="B58" s="7" t="s">
        <v>64</v>
      </c>
      <c r="C58" s="7" t="n">
        <v>90444.4</v>
      </c>
      <c r="D58" s="7" t="n">
        <v>90053.7</v>
      </c>
      <c r="E58" s="7" t="n">
        <v>0.0043385224593769</v>
      </c>
      <c r="F58" s="7" t="s">
        <v>450</v>
      </c>
      <c r="G58" s="7" t="s">
        <v>451</v>
      </c>
      <c r="H58" s="7" t="s">
        <v>450</v>
      </c>
      <c r="I58" s="32" t="b">
        <f aca="false">FALSE()</f>
        <v>0</v>
      </c>
      <c r="J58" s="32" t="b">
        <f aca="false">FALSE()</f>
        <v>0</v>
      </c>
      <c r="K58" s="32" t="b">
        <f aca="false">FALSE()</f>
        <v>0</v>
      </c>
      <c r="L58" s="7" t="s">
        <v>445</v>
      </c>
      <c r="M58" s="7" t="s">
        <v>452</v>
      </c>
      <c r="N58" s="7" t="s">
        <v>453</v>
      </c>
      <c r="O58" s="7"/>
      <c r="P58" s="7"/>
      <c r="Q58" s="7"/>
      <c r="R58" s="7"/>
    </row>
    <row r="59" customFormat="false" ht="15" hidden="false" customHeight="false" outlineLevel="0" collapsed="false">
      <c r="A59" s="7" t="s">
        <v>229</v>
      </c>
      <c r="B59" s="7" t="s">
        <v>63</v>
      </c>
      <c r="C59" s="7" t="n">
        <v>88337.5</v>
      </c>
      <c r="D59" s="7" t="n">
        <v>88211</v>
      </c>
      <c r="E59" s="7" t="n">
        <v>0.0014340615116028</v>
      </c>
      <c r="F59" s="7" t="s">
        <v>60</v>
      </c>
      <c r="G59" s="7" t="s">
        <v>448</v>
      </c>
      <c r="H59" s="7" t="s">
        <v>67</v>
      </c>
      <c r="I59" s="32" t="b">
        <f aca="false">FALSE()</f>
        <v>0</v>
      </c>
      <c r="J59" s="32" t="b">
        <f aca="false">TRUE()</f>
        <v>1</v>
      </c>
      <c r="K59" s="32" t="b">
        <f aca="false">FALSE()</f>
        <v>0</v>
      </c>
      <c r="L59" s="7" t="s">
        <v>445</v>
      </c>
      <c r="M59" s="7" t="s">
        <v>446</v>
      </c>
      <c r="N59" s="7" t="s">
        <v>449</v>
      </c>
      <c r="O59" s="7" t="n">
        <v>88293.24</v>
      </c>
      <c r="P59" s="7" t="n">
        <v>88735.02</v>
      </c>
      <c r="Q59" s="7" t="n">
        <v>22.21</v>
      </c>
      <c r="R59" s="7" t="s">
        <v>69</v>
      </c>
    </row>
    <row r="60" customFormat="false" ht="15" hidden="false" customHeight="false" outlineLevel="0" collapsed="false">
      <c r="A60" s="7" t="s">
        <v>229</v>
      </c>
      <c r="B60" s="7" t="s">
        <v>64</v>
      </c>
      <c r="C60" s="7" t="n">
        <v>88132.9</v>
      </c>
      <c r="D60" s="7" t="n">
        <v>88015.2</v>
      </c>
      <c r="E60" s="7" t="n">
        <v>0.0013372690171697</v>
      </c>
      <c r="F60" s="7" t="s">
        <v>450</v>
      </c>
      <c r="G60" s="7" t="s">
        <v>451</v>
      </c>
      <c r="H60" s="7" t="s">
        <v>450</v>
      </c>
      <c r="I60" s="32" t="b">
        <f aca="false">FALSE()</f>
        <v>0</v>
      </c>
      <c r="J60" s="32" t="b">
        <f aca="false">FALSE()</f>
        <v>0</v>
      </c>
      <c r="K60" s="32" t="b">
        <f aca="false">FALSE()</f>
        <v>0</v>
      </c>
      <c r="L60" s="7" t="s">
        <v>445</v>
      </c>
      <c r="M60" s="7" t="s">
        <v>452</v>
      </c>
      <c r="N60" s="7" t="s">
        <v>453</v>
      </c>
      <c r="O60" s="7"/>
      <c r="P60" s="7"/>
      <c r="Q60" s="7"/>
      <c r="R60" s="7"/>
    </row>
    <row r="61" customFormat="false" ht="15" hidden="false" customHeight="false" outlineLevel="0" collapsed="false">
      <c r="A61" s="7" t="s">
        <v>230</v>
      </c>
      <c r="B61" s="7" t="s">
        <v>63</v>
      </c>
      <c r="C61" s="7" t="n">
        <v>82694.3</v>
      </c>
      <c r="D61" s="7" t="n">
        <v>82431.6</v>
      </c>
      <c r="E61" s="7" t="n">
        <v>0.0031868846413268</v>
      </c>
      <c r="F61" s="7" t="s">
        <v>450</v>
      </c>
      <c r="G61" s="7" t="s">
        <v>451</v>
      </c>
      <c r="H61" s="7" t="s">
        <v>450</v>
      </c>
      <c r="I61" s="32" t="b">
        <f aca="false">FALSE()</f>
        <v>0</v>
      </c>
      <c r="J61" s="32" t="b">
        <f aca="false">FALSE()</f>
        <v>0</v>
      </c>
      <c r="K61" s="32" t="b">
        <f aca="false">FALSE()</f>
        <v>0</v>
      </c>
      <c r="L61" s="7" t="s">
        <v>445</v>
      </c>
      <c r="M61" s="7" t="s">
        <v>452</v>
      </c>
      <c r="N61" s="7" t="s">
        <v>453</v>
      </c>
      <c r="O61" s="7"/>
      <c r="P61" s="7"/>
      <c r="Q61" s="7"/>
      <c r="R61" s="7"/>
    </row>
    <row r="62" customFormat="false" ht="15" hidden="false" customHeight="false" outlineLevel="0" collapsed="false">
      <c r="A62" s="7" t="s">
        <v>230</v>
      </c>
      <c r="B62" s="7" t="s">
        <v>64</v>
      </c>
      <c r="C62" s="7" t="n">
        <v>83062</v>
      </c>
      <c r="D62" s="7" t="n">
        <v>82372.1</v>
      </c>
      <c r="E62" s="7" t="n">
        <v>0.0083754086638557</v>
      </c>
      <c r="F62" s="7" t="s">
        <v>60</v>
      </c>
      <c r="G62" s="7" t="s">
        <v>448</v>
      </c>
      <c r="H62" s="7" t="s">
        <v>67</v>
      </c>
      <c r="I62" s="32" t="b">
        <f aca="false">FALSE()</f>
        <v>0</v>
      </c>
      <c r="J62" s="32" t="b">
        <f aca="false">TRUE()</f>
        <v>1</v>
      </c>
      <c r="K62" s="32" t="b">
        <f aca="false">FALSE()</f>
        <v>0</v>
      </c>
      <c r="L62" s="7" t="s">
        <v>445</v>
      </c>
      <c r="M62" s="7" t="s">
        <v>446</v>
      </c>
      <c r="N62" s="7" t="s">
        <v>479</v>
      </c>
      <c r="O62" s="7" t="n">
        <v>82933.31</v>
      </c>
      <c r="P62" s="7" t="n">
        <v>83435.78</v>
      </c>
      <c r="Q62" s="7" t="n">
        <v>-108.6</v>
      </c>
      <c r="R62" s="7" t="s">
        <v>70</v>
      </c>
    </row>
    <row r="63" customFormat="false" ht="15" hidden="false" customHeight="false" outlineLevel="0" collapsed="false">
      <c r="A63" s="7" t="s">
        <v>480</v>
      </c>
      <c r="B63" s="7" t="s">
        <v>63</v>
      </c>
      <c r="C63" s="7" t="n">
        <v>83681.9</v>
      </c>
      <c r="D63" s="7" t="n">
        <v>83368</v>
      </c>
      <c r="E63" s="7" t="n">
        <v>0.0037652336627962</v>
      </c>
      <c r="F63" s="7" t="s">
        <v>450</v>
      </c>
      <c r="G63" s="7" t="s">
        <v>451</v>
      </c>
      <c r="H63" s="7" t="s">
        <v>450</v>
      </c>
      <c r="I63" s="32" t="b">
        <f aca="false">FALSE()</f>
        <v>0</v>
      </c>
      <c r="J63" s="32" t="b">
        <f aca="false">FALSE()</f>
        <v>0</v>
      </c>
      <c r="K63" s="32" t="b">
        <f aca="false">FALSE()</f>
        <v>0</v>
      </c>
      <c r="L63" s="7" t="s">
        <v>445</v>
      </c>
      <c r="M63" s="7" t="s">
        <v>452</v>
      </c>
      <c r="N63" s="7" t="s">
        <v>453</v>
      </c>
      <c r="O63" s="7"/>
      <c r="P63" s="7"/>
      <c r="Q63" s="7"/>
      <c r="R63" s="7"/>
    </row>
    <row r="64" customFormat="false" ht="15" hidden="false" customHeight="false" outlineLevel="0" collapsed="false">
      <c r="A64" s="7" t="s">
        <v>480</v>
      </c>
      <c r="B64" s="7" t="s">
        <v>64</v>
      </c>
      <c r="C64" s="7" t="n">
        <v>82822.1</v>
      </c>
      <c r="D64" s="7" t="n">
        <v>82449</v>
      </c>
      <c r="E64" s="7" t="n">
        <v>0.0045252216521729</v>
      </c>
      <c r="F64" s="7" t="s">
        <v>450</v>
      </c>
      <c r="G64" s="7" t="s">
        <v>451</v>
      </c>
      <c r="H64" s="7" t="s">
        <v>450</v>
      </c>
      <c r="I64" s="32" t="b">
        <f aca="false">FALSE()</f>
        <v>0</v>
      </c>
      <c r="J64" s="32" t="b">
        <f aca="false">FALSE()</f>
        <v>0</v>
      </c>
      <c r="K64" s="32" t="b">
        <f aca="false">FALSE()</f>
        <v>0</v>
      </c>
      <c r="L64" s="7" t="s">
        <v>445</v>
      </c>
      <c r="M64" s="7" t="s">
        <v>452</v>
      </c>
      <c r="N64" s="7" t="s">
        <v>453</v>
      </c>
      <c r="O64" s="7"/>
      <c r="P64" s="7"/>
      <c r="Q64" s="7"/>
      <c r="R64" s="7"/>
    </row>
    <row r="65" customFormat="false" ht="15" hidden="false" customHeight="false" outlineLevel="0" collapsed="false">
      <c r="A65" s="7" t="s">
        <v>481</v>
      </c>
      <c r="B65" s="7" t="s">
        <v>63</v>
      </c>
      <c r="C65" s="7" t="n">
        <v>78687.2</v>
      </c>
      <c r="D65" s="7" t="n">
        <v>78139.5</v>
      </c>
      <c r="E65" s="7" t="n">
        <v>0.0070092590815144</v>
      </c>
      <c r="F65" s="7" t="s">
        <v>450</v>
      </c>
      <c r="G65" s="7" t="s">
        <v>451</v>
      </c>
      <c r="H65" s="7" t="s">
        <v>450</v>
      </c>
      <c r="I65" s="32" t="b">
        <f aca="false">FALSE()</f>
        <v>0</v>
      </c>
      <c r="J65" s="32" t="b">
        <f aca="false">FALSE()</f>
        <v>0</v>
      </c>
      <c r="K65" s="32" t="b">
        <f aca="false">FALSE()</f>
        <v>0</v>
      </c>
      <c r="L65" s="7" t="s">
        <v>445</v>
      </c>
      <c r="M65" s="7" t="s">
        <v>452</v>
      </c>
      <c r="N65" s="7" t="s">
        <v>453</v>
      </c>
      <c r="O65" s="7"/>
      <c r="P65" s="7"/>
      <c r="Q65" s="7"/>
      <c r="R65" s="7"/>
    </row>
    <row r="66" customFormat="false" ht="15" hidden="false" customHeight="false" outlineLevel="0" collapsed="false">
      <c r="A66" s="7" t="s">
        <v>481</v>
      </c>
      <c r="B66" s="7" t="s">
        <v>64</v>
      </c>
      <c r="C66" s="7" t="n">
        <v>78653.8</v>
      </c>
      <c r="D66" s="7" t="n">
        <v>78422.3</v>
      </c>
      <c r="E66" s="7" t="n">
        <v>0.0029519664687212</v>
      </c>
      <c r="F66" s="7" t="s">
        <v>450</v>
      </c>
      <c r="G66" s="7" t="s">
        <v>451</v>
      </c>
      <c r="H66" s="7" t="s">
        <v>450</v>
      </c>
      <c r="I66" s="32" t="b">
        <f aca="false">FALSE()</f>
        <v>0</v>
      </c>
      <c r="J66" s="32" t="b">
        <f aca="false">FALSE()</f>
        <v>0</v>
      </c>
      <c r="K66" s="32" t="b">
        <f aca="false">FALSE()</f>
        <v>0</v>
      </c>
      <c r="L66" s="7" t="s">
        <v>445</v>
      </c>
      <c r="M66" s="7" t="s">
        <v>452</v>
      </c>
      <c r="N66" s="7" t="s">
        <v>453</v>
      </c>
      <c r="O66" s="7"/>
      <c r="P66" s="7"/>
      <c r="Q66" s="7"/>
      <c r="R66" s="7"/>
    </row>
    <row r="67" customFormat="false" ht="15" hidden="false" customHeight="false" outlineLevel="0" collapsed="false">
      <c r="A67" s="7" t="s">
        <v>231</v>
      </c>
      <c r="B67" s="7" t="s">
        <v>63</v>
      </c>
      <c r="C67" s="7" t="n">
        <v>76680.1</v>
      </c>
      <c r="D67" s="7" t="n">
        <v>76380</v>
      </c>
      <c r="E67" s="7" t="n">
        <v>0.0039290390154491</v>
      </c>
      <c r="F67" s="7" t="s">
        <v>60</v>
      </c>
      <c r="G67" s="7" t="s">
        <v>448</v>
      </c>
      <c r="H67" s="7" t="s">
        <v>67</v>
      </c>
      <c r="I67" s="32" t="b">
        <f aca="false">FALSE()</f>
        <v>0</v>
      </c>
      <c r="J67" s="32" t="b">
        <f aca="false">TRUE()</f>
        <v>1</v>
      </c>
      <c r="K67" s="32" t="b">
        <f aca="false">FALSE()</f>
        <v>0</v>
      </c>
      <c r="L67" s="7" t="s">
        <v>445</v>
      </c>
      <c r="M67" s="7" t="s">
        <v>446</v>
      </c>
      <c r="N67" s="7" t="s">
        <v>469</v>
      </c>
      <c r="O67" s="7" t="n">
        <v>76597.28</v>
      </c>
      <c r="P67" s="7" t="n">
        <v>77025.16</v>
      </c>
      <c r="Q67" s="7" t="n">
        <v>-93.97</v>
      </c>
      <c r="R67" s="7" t="s">
        <v>70</v>
      </c>
    </row>
    <row r="68" customFormat="false" ht="15" hidden="false" customHeight="false" outlineLevel="0" collapsed="false">
      <c r="A68" s="7" t="s">
        <v>231</v>
      </c>
      <c r="B68" s="7" t="s">
        <v>64</v>
      </c>
      <c r="C68" s="7" t="n">
        <v>77978.5</v>
      </c>
      <c r="D68" s="7" t="n">
        <v>77771.7</v>
      </c>
      <c r="E68" s="7" t="n">
        <v>0.0026590649297881</v>
      </c>
      <c r="F68" s="7" t="s">
        <v>450</v>
      </c>
      <c r="G68" s="7" t="s">
        <v>451</v>
      </c>
      <c r="H68" s="7" t="s">
        <v>450</v>
      </c>
      <c r="I68" s="32" t="b">
        <f aca="false">FALSE()</f>
        <v>0</v>
      </c>
      <c r="J68" s="32" t="b">
        <f aca="false">FALSE()</f>
        <v>0</v>
      </c>
      <c r="K68" s="32" t="b">
        <f aca="false">FALSE()</f>
        <v>0</v>
      </c>
      <c r="L68" s="7" t="s">
        <v>445</v>
      </c>
      <c r="M68" s="7" t="s">
        <v>452</v>
      </c>
      <c r="N68" s="7" t="s">
        <v>453</v>
      </c>
      <c r="O68" s="7"/>
      <c r="P68" s="7"/>
      <c r="Q68" s="7"/>
      <c r="R68" s="7"/>
    </row>
    <row r="69" customFormat="false" ht="15" hidden="false" customHeight="false" outlineLevel="0" collapsed="false">
      <c r="A69" s="7" t="s">
        <v>232</v>
      </c>
      <c r="B69" s="7" t="s">
        <v>63</v>
      </c>
      <c r="C69" s="7" t="n">
        <v>78898.9</v>
      </c>
      <c r="D69" s="7" t="n">
        <v>78600</v>
      </c>
      <c r="E69" s="7" t="n">
        <v>0.0038027989821882</v>
      </c>
      <c r="F69" s="7" t="s">
        <v>450</v>
      </c>
      <c r="G69" s="7" t="s">
        <v>451</v>
      </c>
      <c r="H69" s="7" t="s">
        <v>450</v>
      </c>
      <c r="I69" s="32" t="b">
        <f aca="false">FALSE()</f>
        <v>0</v>
      </c>
      <c r="J69" s="32" t="b">
        <f aca="false">FALSE()</f>
        <v>0</v>
      </c>
      <c r="K69" s="32" t="b">
        <f aca="false">FALSE()</f>
        <v>0</v>
      </c>
      <c r="L69" s="7" t="s">
        <v>445</v>
      </c>
      <c r="M69" s="7" t="s">
        <v>452</v>
      </c>
      <c r="N69" s="7" t="s">
        <v>453</v>
      </c>
      <c r="O69" s="7"/>
      <c r="P69" s="7"/>
      <c r="Q69" s="7"/>
      <c r="R69" s="7"/>
    </row>
    <row r="70" customFormat="false" ht="15" hidden="false" customHeight="false" outlineLevel="0" collapsed="false">
      <c r="A70" s="7" t="s">
        <v>232</v>
      </c>
      <c r="B70" s="7" t="s">
        <v>64</v>
      </c>
      <c r="C70" s="7" t="n">
        <v>78425.8</v>
      </c>
      <c r="D70" s="7" t="n">
        <v>78244.7</v>
      </c>
      <c r="E70" s="7" t="n">
        <v>0.0023145337639483</v>
      </c>
      <c r="F70" s="7" t="s">
        <v>60</v>
      </c>
      <c r="G70" s="7" t="s">
        <v>448</v>
      </c>
      <c r="H70" s="7" t="s">
        <v>67</v>
      </c>
      <c r="I70" s="32" t="b">
        <f aca="false">FALSE()</f>
        <v>0</v>
      </c>
      <c r="J70" s="32" t="b">
        <f aca="false">TRUE()</f>
        <v>1</v>
      </c>
      <c r="K70" s="32" t="b">
        <f aca="false">FALSE()</f>
        <v>0</v>
      </c>
      <c r="L70" s="7" t="s">
        <v>445</v>
      </c>
      <c r="M70" s="7" t="s">
        <v>446</v>
      </c>
      <c r="N70" s="7" t="s">
        <v>449</v>
      </c>
      <c r="O70" s="7" t="n">
        <v>78244.75</v>
      </c>
      <c r="P70" s="7" t="n">
        <v>78778.72</v>
      </c>
      <c r="Q70" s="7" t="n">
        <v>49.41</v>
      </c>
      <c r="R70" s="7" t="s">
        <v>69</v>
      </c>
    </row>
    <row r="71" customFormat="false" ht="15" hidden="false" customHeight="false" outlineLevel="0" collapsed="false">
      <c r="A71" s="7" t="s">
        <v>233</v>
      </c>
      <c r="B71" s="7" t="s">
        <v>63</v>
      </c>
      <c r="C71" s="7" t="n">
        <v>76597.7</v>
      </c>
      <c r="D71" s="7" t="n">
        <v>76345</v>
      </c>
      <c r="E71" s="7" t="n">
        <v>0.0033099744580522</v>
      </c>
      <c r="F71" s="7" t="s">
        <v>450</v>
      </c>
      <c r="G71" s="7" t="s">
        <v>451</v>
      </c>
      <c r="H71" s="7" t="s">
        <v>450</v>
      </c>
      <c r="I71" s="32" t="b">
        <f aca="false">FALSE()</f>
        <v>0</v>
      </c>
      <c r="J71" s="32" t="b">
        <f aca="false">FALSE()</f>
        <v>0</v>
      </c>
      <c r="K71" s="32" t="b">
        <f aca="false">FALSE()</f>
        <v>0</v>
      </c>
      <c r="L71" s="7" t="s">
        <v>445</v>
      </c>
      <c r="M71" s="7" t="s">
        <v>452</v>
      </c>
      <c r="N71" s="7" t="s">
        <v>453</v>
      </c>
      <c r="O71" s="7"/>
      <c r="P71" s="7"/>
      <c r="Q71" s="7"/>
      <c r="R71" s="7"/>
    </row>
    <row r="72" customFormat="false" ht="15" hidden="false" customHeight="false" outlineLevel="0" collapsed="false">
      <c r="A72" s="7" t="s">
        <v>233</v>
      </c>
      <c r="B72" s="7" t="s">
        <v>64</v>
      </c>
      <c r="C72" s="7" t="n">
        <v>75915.2</v>
      </c>
      <c r="D72" s="7" t="n">
        <v>75219</v>
      </c>
      <c r="E72" s="7" t="n">
        <v>0.0092556401972905</v>
      </c>
      <c r="F72" s="7" t="s">
        <v>59</v>
      </c>
      <c r="G72" s="7" t="s">
        <v>444</v>
      </c>
      <c r="H72" s="7" t="s">
        <v>67</v>
      </c>
      <c r="I72" s="32" t="b">
        <f aca="false">TRUE()</f>
        <v>1</v>
      </c>
      <c r="J72" s="32" t="b">
        <f aca="false">FALSE()</f>
        <v>0</v>
      </c>
      <c r="K72" s="32" t="b">
        <f aca="false">FALSE()</f>
        <v>0</v>
      </c>
      <c r="L72" s="7" t="s">
        <v>445</v>
      </c>
      <c r="M72" s="7" t="s">
        <v>446</v>
      </c>
      <c r="N72" s="7" t="s">
        <v>463</v>
      </c>
      <c r="O72" s="7" t="n">
        <v>74823.33</v>
      </c>
      <c r="P72" s="7" t="n">
        <v>75331.83</v>
      </c>
      <c r="Q72" s="7" t="n">
        <v>-107.69</v>
      </c>
      <c r="R72" s="7" t="s">
        <v>70</v>
      </c>
    </row>
    <row r="73" customFormat="false" ht="15" hidden="false" customHeight="false" outlineLevel="0" collapsed="false">
      <c r="A73" s="7" t="s">
        <v>482</v>
      </c>
      <c r="B73" s="7" t="s">
        <v>63</v>
      </c>
      <c r="C73" s="7" t="n">
        <v>71406.4</v>
      </c>
      <c r="D73" s="7" t="n">
        <v>70900</v>
      </c>
      <c r="E73" s="7" t="n">
        <v>0.0071424541607897</v>
      </c>
      <c r="F73" s="7" t="s">
        <v>450</v>
      </c>
      <c r="G73" s="7" t="s">
        <v>451</v>
      </c>
      <c r="H73" s="7" t="s">
        <v>450</v>
      </c>
      <c r="I73" s="32" t="b">
        <f aca="false">FALSE()</f>
        <v>0</v>
      </c>
      <c r="J73" s="32" t="b">
        <f aca="false">FALSE()</f>
        <v>0</v>
      </c>
      <c r="K73" s="32" t="b">
        <f aca="false">FALSE()</f>
        <v>0</v>
      </c>
      <c r="L73" s="7" t="s">
        <v>445</v>
      </c>
      <c r="M73" s="7" t="s">
        <v>452</v>
      </c>
      <c r="N73" s="7" t="s">
        <v>453</v>
      </c>
      <c r="O73" s="7"/>
      <c r="P73" s="7"/>
      <c r="Q73" s="7"/>
      <c r="R73" s="7"/>
    </row>
    <row r="74" customFormat="false" ht="15" hidden="false" customHeight="false" outlineLevel="0" collapsed="false">
      <c r="A74" s="7" t="s">
        <v>482</v>
      </c>
      <c r="B74" s="7" t="s">
        <v>64</v>
      </c>
      <c r="C74" s="7" t="n">
        <v>69611</v>
      </c>
      <c r="D74" s="7" t="n">
        <v>69229.6</v>
      </c>
      <c r="E74" s="7" t="n">
        <v>0.0055092041554478</v>
      </c>
      <c r="F74" s="7" t="s">
        <v>450</v>
      </c>
      <c r="G74" s="7" t="s">
        <v>451</v>
      </c>
      <c r="H74" s="7" t="s">
        <v>450</v>
      </c>
      <c r="I74" s="32" t="b">
        <f aca="false">FALSE()</f>
        <v>0</v>
      </c>
      <c r="J74" s="32" t="b">
        <f aca="false">FALSE()</f>
        <v>0</v>
      </c>
      <c r="K74" s="32" t="b">
        <f aca="false">FALSE()</f>
        <v>0</v>
      </c>
      <c r="L74" s="7" t="s">
        <v>445</v>
      </c>
      <c r="M74" s="7" t="s">
        <v>452</v>
      </c>
      <c r="N74" s="7" t="s">
        <v>453</v>
      </c>
      <c r="O74" s="7"/>
      <c r="P74" s="7"/>
      <c r="Q74" s="7"/>
      <c r="R74" s="7"/>
    </row>
    <row r="75" customFormat="false" ht="15" hidden="false" customHeight="false" outlineLevel="0" collapsed="false">
      <c r="A75" s="7" t="s">
        <v>234</v>
      </c>
      <c r="B75" s="7" t="s">
        <v>63</v>
      </c>
      <c r="C75" s="7" t="n">
        <v>65509.6</v>
      </c>
      <c r="D75" s="7" t="n">
        <v>64860.8</v>
      </c>
      <c r="E75" s="7" t="n">
        <v>0.0100029601855048</v>
      </c>
      <c r="F75" s="7" t="s">
        <v>450</v>
      </c>
      <c r="G75" s="7" t="s">
        <v>451</v>
      </c>
      <c r="H75" s="7" t="s">
        <v>450</v>
      </c>
      <c r="I75" s="32" t="b">
        <f aca="false">FALSE()</f>
        <v>0</v>
      </c>
      <c r="J75" s="32" t="b">
        <f aca="false">FALSE()</f>
        <v>0</v>
      </c>
      <c r="K75" s="32" t="b">
        <f aca="false">FALSE()</f>
        <v>0</v>
      </c>
      <c r="L75" s="7" t="s">
        <v>445</v>
      </c>
      <c r="M75" s="7" t="s">
        <v>452</v>
      </c>
      <c r="N75" s="7" t="s">
        <v>453</v>
      </c>
      <c r="O75" s="7"/>
      <c r="P75" s="7"/>
      <c r="Q75" s="7"/>
      <c r="R75" s="7"/>
    </row>
    <row r="76" customFormat="false" ht="15" hidden="false" customHeight="false" outlineLevel="0" collapsed="false">
      <c r="A76" s="7" t="s">
        <v>234</v>
      </c>
      <c r="B76" s="7" t="s">
        <v>64</v>
      </c>
      <c r="C76" s="7" t="n">
        <v>67348.7</v>
      </c>
      <c r="D76" s="7" t="n">
        <v>66750.5</v>
      </c>
      <c r="E76" s="7" t="n">
        <v>0.0089617306237406</v>
      </c>
      <c r="F76" s="7" t="s">
        <v>60</v>
      </c>
      <c r="G76" s="7" t="s">
        <v>448</v>
      </c>
      <c r="H76" s="7" t="s">
        <v>67</v>
      </c>
      <c r="I76" s="32" t="b">
        <f aca="false">FALSE()</f>
        <v>0</v>
      </c>
      <c r="J76" s="32" t="b">
        <f aca="false">TRUE()</f>
        <v>1</v>
      </c>
      <c r="K76" s="32" t="b">
        <f aca="false">FALSE()</f>
        <v>0</v>
      </c>
      <c r="L76" s="7" t="s">
        <v>445</v>
      </c>
      <c r="M76" s="7" t="s">
        <v>446</v>
      </c>
      <c r="N76" s="7" t="s">
        <v>469</v>
      </c>
      <c r="O76" s="7" t="n">
        <v>67261.45</v>
      </c>
      <c r="P76" s="7" t="n">
        <v>67651.77</v>
      </c>
      <c r="Q76" s="7" t="n">
        <v>30.36</v>
      </c>
      <c r="R76" s="7" t="s">
        <v>69</v>
      </c>
    </row>
    <row r="77" customFormat="false" ht="15" hidden="false" customHeight="false" outlineLevel="0" collapsed="false">
      <c r="A77" s="7" t="s">
        <v>235</v>
      </c>
      <c r="B77" s="7" t="s">
        <v>63</v>
      </c>
      <c r="C77" s="7" t="n">
        <v>68662</v>
      </c>
      <c r="D77" s="7" t="n">
        <v>67500.1</v>
      </c>
      <c r="E77" s="7" t="n">
        <v>0.0172133078321364</v>
      </c>
      <c r="F77" s="7" t="s">
        <v>60</v>
      </c>
      <c r="G77" s="7" t="s">
        <v>448</v>
      </c>
      <c r="H77" s="7" t="s">
        <v>67</v>
      </c>
      <c r="I77" s="32" t="b">
        <f aca="false">FALSE()</f>
        <v>0</v>
      </c>
      <c r="J77" s="32" t="b">
        <f aca="false">TRUE()</f>
        <v>1</v>
      </c>
      <c r="K77" s="32" t="b">
        <f aca="false">FALSE()</f>
        <v>0</v>
      </c>
      <c r="L77" s="7" t="s">
        <v>445</v>
      </c>
      <c r="M77" s="7" t="s">
        <v>446</v>
      </c>
      <c r="N77" s="7" t="s">
        <v>454</v>
      </c>
      <c r="O77" s="7" t="n">
        <v>68298.24</v>
      </c>
      <c r="P77" s="7" t="n">
        <v>68970.98</v>
      </c>
      <c r="Q77" s="7" t="n">
        <v>7.27</v>
      </c>
      <c r="R77" s="7" t="s">
        <v>69</v>
      </c>
    </row>
    <row r="78" customFormat="false" ht="15" hidden="false" customHeight="false" outlineLevel="0" collapsed="false">
      <c r="A78" s="7" t="s">
        <v>235</v>
      </c>
      <c r="B78" s="7" t="s">
        <v>64</v>
      </c>
      <c r="C78" s="7" t="n">
        <v>69333</v>
      </c>
      <c r="D78" s="7" t="n">
        <v>68771.8</v>
      </c>
      <c r="E78" s="7" t="n">
        <v>0.0081603215271375</v>
      </c>
      <c r="F78" s="7" t="s">
        <v>60</v>
      </c>
      <c r="G78" s="7" t="s">
        <v>459</v>
      </c>
      <c r="H78" s="7" t="s">
        <v>66</v>
      </c>
      <c r="I78" s="32" t="b">
        <f aca="false">FALSE()</f>
        <v>0</v>
      </c>
      <c r="J78" s="32" t="b">
        <f aca="false">TRUE()</f>
        <v>1</v>
      </c>
      <c r="K78" s="32" t="b">
        <f aca="false">FALSE()</f>
        <v>0</v>
      </c>
      <c r="L78" s="7" t="s">
        <v>445</v>
      </c>
      <c r="M78" s="7" t="s">
        <v>446</v>
      </c>
      <c r="N78" s="7" t="s">
        <v>483</v>
      </c>
      <c r="O78" s="7" t="n">
        <v>68790.66</v>
      </c>
      <c r="P78" s="7" t="n">
        <v>68462.33</v>
      </c>
      <c r="Q78" s="7" t="n">
        <v>-111.72</v>
      </c>
      <c r="R78" s="7" t="s">
        <v>70</v>
      </c>
    </row>
    <row r="79" customFormat="false" ht="15" hidden="false" customHeight="false" outlineLevel="0" collapsed="false">
      <c r="A79" s="7" t="s">
        <v>484</v>
      </c>
      <c r="B79" s="7" t="s">
        <v>63</v>
      </c>
      <c r="C79" s="7" t="n">
        <v>69575.2</v>
      </c>
      <c r="D79" s="7" t="n">
        <v>69365.3</v>
      </c>
      <c r="E79" s="7" t="n">
        <v>0.0030260086815741</v>
      </c>
      <c r="F79" s="7" t="s">
        <v>450</v>
      </c>
      <c r="G79" s="7" t="s">
        <v>451</v>
      </c>
      <c r="H79" s="7" t="s">
        <v>450</v>
      </c>
      <c r="I79" s="32" t="b">
        <f aca="false">FALSE()</f>
        <v>0</v>
      </c>
      <c r="J79" s="32" t="b">
        <f aca="false">FALSE()</f>
        <v>0</v>
      </c>
      <c r="K79" s="32" t="b">
        <f aca="false">FALSE()</f>
        <v>0</v>
      </c>
      <c r="L79" s="7" t="s">
        <v>445</v>
      </c>
      <c r="M79" s="7" t="s">
        <v>452</v>
      </c>
      <c r="N79" s="7" t="s">
        <v>453</v>
      </c>
      <c r="O79" s="7"/>
      <c r="P79" s="7"/>
      <c r="Q79" s="7"/>
      <c r="R79" s="7"/>
    </row>
    <row r="80" customFormat="false" ht="15" hidden="false" customHeight="false" outlineLevel="0" collapsed="false">
      <c r="A80" s="7" t="s">
        <v>484</v>
      </c>
      <c r="B80" s="7" t="s">
        <v>64</v>
      </c>
      <c r="C80" s="7" t="n">
        <v>71446.6</v>
      </c>
      <c r="D80" s="7" t="n">
        <v>71150.4</v>
      </c>
      <c r="E80" s="7" t="n">
        <v>0.0041630124356294</v>
      </c>
      <c r="F80" s="7" t="s">
        <v>450</v>
      </c>
      <c r="G80" s="7" t="s">
        <v>451</v>
      </c>
      <c r="H80" s="7" t="s">
        <v>450</v>
      </c>
      <c r="I80" s="32" t="b">
        <f aca="false">FALSE()</f>
        <v>0</v>
      </c>
      <c r="J80" s="32" t="b">
        <f aca="false">FALSE()</f>
        <v>0</v>
      </c>
      <c r="K80" s="32" t="b">
        <f aca="false">FALSE()</f>
        <v>0</v>
      </c>
      <c r="L80" s="7" t="s">
        <v>445</v>
      </c>
      <c r="M80" s="7" t="s">
        <v>452</v>
      </c>
      <c r="N80" s="7" t="s">
        <v>453</v>
      </c>
      <c r="O80" s="7"/>
      <c r="P80" s="7"/>
      <c r="Q80" s="7"/>
      <c r="R80" s="7"/>
    </row>
    <row r="81" customFormat="false" ht="15" hidden="false" customHeight="false" outlineLevel="0" collapsed="false">
      <c r="A81" s="7" t="s">
        <v>236</v>
      </c>
      <c r="B81" s="7" t="s">
        <v>63</v>
      </c>
      <c r="C81" s="7" t="n">
        <v>70713.3</v>
      </c>
      <c r="D81" s="7" t="n">
        <v>70329.8</v>
      </c>
      <c r="E81" s="7" t="n">
        <v>0.0054528805712514</v>
      </c>
      <c r="F81" s="7" t="s">
        <v>60</v>
      </c>
      <c r="G81" s="7" t="s">
        <v>459</v>
      </c>
      <c r="H81" s="7" t="s">
        <v>66</v>
      </c>
      <c r="I81" s="32" t="b">
        <f aca="false">FALSE()</f>
        <v>0</v>
      </c>
      <c r="J81" s="32" t="b">
        <f aca="false">TRUE()</f>
        <v>1</v>
      </c>
      <c r="K81" s="32" t="b">
        <f aca="false">FALSE()</f>
        <v>0</v>
      </c>
      <c r="L81" s="7" t="s">
        <v>445</v>
      </c>
      <c r="M81" s="7" t="s">
        <v>446</v>
      </c>
      <c r="N81" s="7" t="s">
        <v>467</v>
      </c>
      <c r="O81" s="7" t="n">
        <v>70407.58</v>
      </c>
      <c r="P81" s="7" t="n">
        <v>70013.32</v>
      </c>
      <c r="Q81" s="7" t="n">
        <v>-86.52</v>
      </c>
      <c r="R81" s="7" t="s">
        <v>70</v>
      </c>
    </row>
    <row r="82" customFormat="false" ht="15" hidden="false" customHeight="false" outlineLevel="0" collapsed="false">
      <c r="A82" s="7" t="s">
        <v>236</v>
      </c>
      <c r="B82" s="7" t="s">
        <v>64</v>
      </c>
      <c r="C82" s="7" t="n">
        <v>69237.9</v>
      </c>
      <c r="D82" s="7" t="n">
        <v>69008.1</v>
      </c>
      <c r="E82" s="7" t="n">
        <v>0.0033300438644157</v>
      </c>
      <c r="F82" s="7" t="s">
        <v>59</v>
      </c>
      <c r="G82" s="7" t="s">
        <v>444</v>
      </c>
      <c r="H82" s="7" t="s">
        <v>67</v>
      </c>
      <c r="I82" s="32" t="b">
        <f aca="false">TRUE()</f>
        <v>1</v>
      </c>
      <c r="J82" s="32" t="b">
        <f aca="false">FALSE()</f>
        <v>0</v>
      </c>
      <c r="K82" s="32" t="b">
        <f aca="false">FALSE()</f>
        <v>0</v>
      </c>
      <c r="L82" s="7" t="s">
        <v>445</v>
      </c>
      <c r="M82" s="7" t="s">
        <v>446</v>
      </c>
      <c r="N82" s="7" t="s">
        <v>485</v>
      </c>
      <c r="O82" s="7" t="n">
        <v>68543.29</v>
      </c>
      <c r="P82" s="7" t="n">
        <v>69111.61</v>
      </c>
      <c r="Q82" s="7" t="n">
        <v>-58.38</v>
      </c>
      <c r="R82" s="7" t="s">
        <v>70</v>
      </c>
    </row>
    <row r="83" customFormat="false" ht="15" hidden="false" customHeight="false" outlineLevel="0" collapsed="false">
      <c r="A83" s="7" t="s">
        <v>237</v>
      </c>
      <c r="B83" s="7" t="s">
        <v>63</v>
      </c>
      <c r="C83" s="7" t="n">
        <v>69097.3</v>
      </c>
      <c r="D83" s="7" t="n">
        <v>68825</v>
      </c>
      <c r="E83" s="7" t="n">
        <v>0.0039564111877951</v>
      </c>
      <c r="F83" s="7" t="s">
        <v>450</v>
      </c>
      <c r="G83" s="7" t="s">
        <v>451</v>
      </c>
      <c r="H83" s="7" t="s">
        <v>450</v>
      </c>
      <c r="I83" s="32" t="b">
        <f aca="false">FALSE()</f>
        <v>0</v>
      </c>
      <c r="J83" s="32" t="b">
        <f aca="false">FALSE()</f>
        <v>0</v>
      </c>
      <c r="K83" s="32" t="b">
        <f aca="false">FALSE()</f>
        <v>0</v>
      </c>
      <c r="L83" s="7" t="s">
        <v>445</v>
      </c>
      <c r="M83" s="7" t="s">
        <v>452</v>
      </c>
      <c r="N83" s="7" t="s">
        <v>453</v>
      </c>
      <c r="O83" s="7"/>
      <c r="P83" s="7"/>
      <c r="Q83" s="7"/>
      <c r="R83" s="7"/>
    </row>
    <row r="84" customFormat="false" ht="15" hidden="false" customHeight="false" outlineLevel="0" collapsed="false">
      <c r="A84" s="7" t="s">
        <v>237</v>
      </c>
      <c r="B84" s="7" t="s">
        <v>64</v>
      </c>
      <c r="C84" s="7" t="n">
        <v>69026.8</v>
      </c>
      <c r="D84" s="7" t="n">
        <v>68657.5</v>
      </c>
      <c r="E84" s="7" t="n">
        <v>0.0053788733932928</v>
      </c>
      <c r="F84" s="7" t="s">
        <v>60</v>
      </c>
      <c r="G84" s="7" t="s">
        <v>448</v>
      </c>
      <c r="H84" s="7" t="s">
        <v>67</v>
      </c>
      <c r="I84" s="32" t="b">
        <f aca="false">FALSE()</f>
        <v>0</v>
      </c>
      <c r="J84" s="32" t="b">
        <f aca="false">TRUE()</f>
        <v>1</v>
      </c>
      <c r="K84" s="32" t="b">
        <f aca="false">FALSE()</f>
        <v>0</v>
      </c>
      <c r="L84" s="7" t="s">
        <v>445</v>
      </c>
      <c r="M84" s="7" t="s">
        <v>446</v>
      </c>
      <c r="N84" s="7" t="s">
        <v>449</v>
      </c>
      <c r="O84" s="7" t="n">
        <v>68968</v>
      </c>
      <c r="P84" s="7" t="n">
        <v>69337.42</v>
      </c>
      <c r="Q84" s="7" t="n">
        <v>-122.73</v>
      </c>
      <c r="R84" s="7" t="s">
        <v>70</v>
      </c>
    </row>
    <row r="85" customFormat="false" ht="15" hidden="false" customHeight="false" outlineLevel="0" collapsed="false">
      <c r="A85" s="7" t="s">
        <v>486</v>
      </c>
      <c r="B85" s="7" t="s">
        <v>63</v>
      </c>
      <c r="C85" s="7" t="n">
        <v>67184.9</v>
      </c>
      <c r="D85" s="7" t="n">
        <v>66905.5</v>
      </c>
      <c r="E85" s="7" t="n">
        <v>0.0041760393390677</v>
      </c>
      <c r="F85" s="7" t="s">
        <v>450</v>
      </c>
      <c r="G85" s="7" t="s">
        <v>451</v>
      </c>
      <c r="H85" s="7" t="s">
        <v>450</v>
      </c>
      <c r="I85" s="32" t="b">
        <f aca="false">FALSE()</f>
        <v>0</v>
      </c>
      <c r="J85" s="32" t="b">
        <f aca="false">FALSE()</f>
        <v>0</v>
      </c>
      <c r="K85" s="32" t="b">
        <f aca="false">FALSE()</f>
        <v>0</v>
      </c>
      <c r="L85" s="7" t="s">
        <v>445</v>
      </c>
      <c r="M85" s="7" t="s">
        <v>452</v>
      </c>
      <c r="N85" s="7" t="s">
        <v>458</v>
      </c>
      <c r="O85" s="7"/>
      <c r="P85" s="7"/>
      <c r="Q85" s="7"/>
      <c r="R85" s="7"/>
    </row>
    <row r="86" customFormat="false" ht="15" hidden="false" customHeight="false" outlineLevel="0" collapsed="false">
      <c r="A86" s="7" t="s">
        <v>486</v>
      </c>
      <c r="B86" s="7" t="s">
        <v>64</v>
      </c>
      <c r="C86" s="7" t="n">
        <v>67638.4</v>
      </c>
      <c r="D86" s="7" t="n">
        <v>66836.5</v>
      </c>
      <c r="E86" s="7" t="n">
        <v>0.0119979352599252</v>
      </c>
      <c r="F86" s="7" t="s">
        <v>450</v>
      </c>
      <c r="G86" s="7" t="s">
        <v>451</v>
      </c>
      <c r="H86" s="7" t="s">
        <v>450</v>
      </c>
      <c r="I86" s="32" t="b">
        <f aca="false">FALSE()</f>
        <v>0</v>
      </c>
      <c r="J86" s="32" t="b">
        <f aca="false">FALSE()</f>
        <v>0</v>
      </c>
      <c r="K86" s="32" t="b">
        <f aca="false">FALSE()</f>
        <v>0</v>
      </c>
      <c r="L86" s="7" t="s">
        <v>445</v>
      </c>
      <c r="M86" s="7" t="s">
        <v>452</v>
      </c>
      <c r="N86" s="7" t="s">
        <v>458</v>
      </c>
      <c r="O86" s="7"/>
      <c r="P86" s="7"/>
      <c r="Q86" s="7"/>
      <c r="R86" s="7"/>
    </row>
    <row r="87" customFormat="false" ht="15" hidden="false" customHeight="false" outlineLevel="0" collapsed="false">
      <c r="A87" s="7" t="s">
        <v>238</v>
      </c>
      <c r="B87" s="7" t="s">
        <v>63</v>
      </c>
      <c r="C87" s="7" t="n">
        <v>67224.3</v>
      </c>
      <c r="D87" s="7" t="n">
        <v>67095.1</v>
      </c>
      <c r="E87" s="7" t="n">
        <v>0.001925624971123</v>
      </c>
      <c r="F87" s="7" t="s">
        <v>60</v>
      </c>
      <c r="G87" s="7" t="s">
        <v>459</v>
      </c>
      <c r="H87" s="7" t="s">
        <v>66</v>
      </c>
      <c r="I87" s="32" t="b">
        <f aca="false">FALSE()</f>
        <v>0</v>
      </c>
      <c r="J87" s="32" t="b">
        <f aca="false">TRUE()</f>
        <v>1</v>
      </c>
      <c r="K87" s="32" t="b">
        <f aca="false">FALSE()</f>
        <v>0</v>
      </c>
      <c r="L87" s="7" t="s">
        <v>445</v>
      </c>
      <c r="M87" s="7" t="s">
        <v>446</v>
      </c>
      <c r="N87" s="7" t="s">
        <v>465</v>
      </c>
      <c r="O87" s="7" t="n">
        <v>67194.94</v>
      </c>
      <c r="P87" s="7" t="n">
        <v>66793.17</v>
      </c>
      <c r="Q87" s="7" t="n">
        <v>14.17</v>
      </c>
      <c r="R87" s="7" t="s">
        <v>69</v>
      </c>
    </row>
    <row r="88" customFormat="false" ht="15" hidden="false" customHeight="false" outlineLevel="0" collapsed="false">
      <c r="A88" s="7" t="s">
        <v>238</v>
      </c>
      <c r="B88" s="7" t="s">
        <v>64</v>
      </c>
      <c r="C88" s="7" t="n">
        <v>68141.5</v>
      </c>
      <c r="D88" s="7" t="n">
        <v>67691.5</v>
      </c>
      <c r="E88" s="7" t="n">
        <v>0.0066478065931468</v>
      </c>
      <c r="F88" s="7" t="s">
        <v>450</v>
      </c>
      <c r="G88" s="7" t="s">
        <v>451</v>
      </c>
      <c r="H88" s="7" t="s">
        <v>450</v>
      </c>
      <c r="I88" s="32" t="b">
        <f aca="false">FALSE()</f>
        <v>0</v>
      </c>
      <c r="J88" s="32" t="b">
        <f aca="false">FALSE()</f>
        <v>0</v>
      </c>
      <c r="K88" s="32" t="b">
        <f aca="false">FALSE()</f>
        <v>0</v>
      </c>
      <c r="L88" s="7" t="s">
        <v>445</v>
      </c>
      <c r="M88" s="7" t="s">
        <v>452</v>
      </c>
      <c r="N88" s="7" t="s">
        <v>453</v>
      </c>
      <c r="O88" s="7"/>
      <c r="P88" s="7"/>
      <c r="Q88" s="7"/>
      <c r="R88" s="7"/>
    </row>
    <row r="89" customFormat="false" ht="15" hidden="false" customHeight="false" outlineLevel="0" collapsed="false">
      <c r="A89" s="7" t="s">
        <v>239</v>
      </c>
      <c r="B89" s="7" t="s">
        <v>63</v>
      </c>
      <c r="C89" s="7" t="n">
        <v>66489.1</v>
      </c>
      <c r="D89" s="7" t="n">
        <v>66094</v>
      </c>
      <c r="E89" s="7" t="n">
        <v>0.0059778497291736</v>
      </c>
      <c r="F89" s="7" t="s">
        <v>60</v>
      </c>
      <c r="G89" s="7" t="s">
        <v>459</v>
      </c>
      <c r="H89" s="7" t="s">
        <v>66</v>
      </c>
      <c r="I89" s="32" t="b">
        <f aca="false">FALSE()</f>
        <v>0</v>
      </c>
      <c r="J89" s="32" t="b">
        <f aca="false">TRUE()</f>
        <v>1</v>
      </c>
      <c r="K89" s="32" t="b">
        <f aca="false">FALSE()</f>
        <v>0</v>
      </c>
      <c r="L89" s="7" t="s">
        <v>445</v>
      </c>
      <c r="M89" s="7" t="s">
        <v>446</v>
      </c>
      <c r="N89" s="7" t="s">
        <v>465</v>
      </c>
      <c r="O89" s="7" t="n">
        <v>66196.54</v>
      </c>
      <c r="P89" s="7" t="n">
        <v>65796.58</v>
      </c>
      <c r="Q89" s="7" t="n">
        <v>17.31</v>
      </c>
      <c r="R89" s="7" t="s">
        <v>69</v>
      </c>
    </row>
    <row r="90" customFormat="false" ht="15" hidden="false" customHeight="false" outlineLevel="0" collapsed="false">
      <c r="A90" s="7" t="s">
        <v>239</v>
      </c>
      <c r="B90" s="7" t="s">
        <v>64</v>
      </c>
      <c r="C90" s="7" t="n">
        <v>67600</v>
      </c>
      <c r="D90" s="7" t="n">
        <v>67163.1</v>
      </c>
      <c r="E90" s="7" t="n">
        <v>0.0065050600701872</v>
      </c>
      <c r="F90" s="7" t="s">
        <v>60</v>
      </c>
      <c r="G90" s="7" t="s">
        <v>459</v>
      </c>
      <c r="H90" s="7" t="s">
        <v>66</v>
      </c>
      <c r="I90" s="32" t="b">
        <f aca="false">FALSE()</f>
        <v>0</v>
      </c>
      <c r="J90" s="32" t="b">
        <f aca="false">TRUE()</f>
        <v>1</v>
      </c>
      <c r="K90" s="32" t="b">
        <f aca="false">FALSE()</f>
        <v>0</v>
      </c>
      <c r="L90" s="7" t="s">
        <v>445</v>
      </c>
      <c r="M90" s="7" t="s">
        <v>446</v>
      </c>
      <c r="N90" s="7" t="s">
        <v>460</v>
      </c>
      <c r="O90" s="7" t="n">
        <v>67251.55</v>
      </c>
      <c r="P90" s="7" t="n">
        <v>66860.87</v>
      </c>
      <c r="Q90" s="7" t="n">
        <v>-85.15</v>
      </c>
      <c r="R90" s="7" t="s">
        <v>70</v>
      </c>
    </row>
    <row r="91" customFormat="false" ht="15" hidden="false" customHeight="false" outlineLevel="0" collapsed="false">
      <c r="A91" s="7" t="s">
        <v>240</v>
      </c>
      <c r="B91" s="7" t="s">
        <v>63</v>
      </c>
      <c r="C91" s="7" t="n">
        <v>69165</v>
      </c>
      <c r="D91" s="7" t="n">
        <v>68915</v>
      </c>
      <c r="E91" s="7" t="n">
        <v>0.0036276572589421</v>
      </c>
      <c r="F91" s="7" t="s">
        <v>450</v>
      </c>
      <c r="G91" s="7" t="s">
        <v>451</v>
      </c>
      <c r="H91" s="7" t="s">
        <v>450</v>
      </c>
      <c r="I91" s="32" t="b">
        <f aca="false">FALSE()</f>
        <v>0</v>
      </c>
      <c r="J91" s="32" t="b">
        <f aca="false">FALSE()</f>
        <v>0</v>
      </c>
      <c r="K91" s="32" t="b">
        <f aca="false">FALSE()</f>
        <v>0</v>
      </c>
      <c r="L91" s="7" t="s">
        <v>445</v>
      </c>
      <c r="M91" s="7" t="s">
        <v>452</v>
      </c>
      <c r="N91" s="7" t="s">
        <v>453</v>
      </c>
      <c r="O91" s="7"/>
      <c r="P91" s="7"/>
      <c r="Q91" s="7"/>
      <c r="R91" s="7"/>
    </row>
    <row r="92" customFormat="false" ht="15" hidden="false" customHeight="false" outlineLevel="0" collapsed="false">
      <c r="A92" s="7" t="s">
        <v>240</v>
      </c>
      <c r="B92" s="7" t="s">
        <v>64</v>
      </c>
      <c r="C92" s="7" t="n">
        <v>69540</v>
      </c>
      <c r="D92" s="7" t="n">
        <v>69230.8</v>
      </c>
      <c r="E92" s="7" t="n">
        <v>0.0044662202372354</v>
      </c>
      <c r="F92" s="7" t="s">
        <v>60</v>
      </c>
      <c r="G92" s="7" t="s">
        <v>448</v>
      </c>
      <c r="H92" s="7" t="s">
        <v>67</v>
      </c>
      <c r="I92" s="32" t="b">
        <f aca="false">FALSE()</f>
        <v>0</v>
      </c>
      <c r="J92" s="32" t="b">
        <f aca="false">TRUE()</f>
        <v>1</v>
      </c>
      <c r="K92" s="32" t="b">
        <f aca="false">FALSE()</f>
        <v>0</v>
      </c>
      <c r="L92" s="7" t="s">
        <v>445</v>
      </c>
      <c r="M92" s="7" t="s">
        <v>446</v>
      </c>
      <c r="N92" s="7" t="s">
        <v>449</v>
      </c>
      <c r="O92" s="7" t="n">
        <v>69416.11</v>
      </c>
      <c r="P92" s="7" t="n">
        <v>69852.93</v>
      </c>
      <c r="Q92" s="7" t="n">
        <v>-93.95</v>
      </c>
      <c r="R92" s="7" t="s">
        <v>70</v>
      </c>
    </row>
    <row r="93" customFormat="false" ht="15" hidden="false" customHeight="false" outlineLevel="0" collapsed="false">
      <c r="A93" s="7" t="s">
        <v>241</v>
      </c>
      <c r="B93" s="7" t="s">
        <v>63</v>
      </c>
      <c r="C93" s="7" t="n">
        <v>70907.7</v>
      </c>
      <c r="D93" s="7" t="n">
        <v>70550</v>
      </c>
      <c r="E93" s="7" t="n">
        <v>0.0050701630049609</v>
      </c>
      <c r="F93" s="7" t="s">
        <v>60</v>
      </c>
      <c r="G93" s="7" t="s">
        <v>448</v>
      </c>
      <c r="H93" s="7" t="s">
        <v>67</v>
      </c>
      <c r="I93" s="32" t="b">
        <f aca="false">FALSE()</f>
        <v>0</v>
      </c>
      <c r="J93" s="32" t="b">
        <f aca="false">TRUE()</f>
        <v>1</v>
      </c>
      <c r="K93" s="32" t="b">
        <f aca="false">FALSE()</f>
        <v>0</v>
      </c>
      <c r="L93" s="7" t="s">
        <v>445</v>
      </c>
      <c r="M93" s="7" t="s">
        <v>446</v>
      </c>
      <c r="N93" s="7" t="s">
        <v>472</v>
      </c>
      <c r="O93" s="7" t="n">
        <v>70685.76</v>
      </c>
      <c r="P93" s="7" t="n">
        <v>71226.78</v>
      </c>
      <c r="Q93" s="7" t="n">
        <v>44.95</v>
      </c>
      <c r="R93" s="7" t="s">
        <v>69</v>
      </c>
    </row>
    <row r="94" customFormat="false" ht="15" hidden="false" customHeight="false" outlineLevel="0" collapsed="false">
      <c r="A94" s="7" t="s">
        <v>241</v>
      </c>
      <c r="B94" s="7" t="s">
        <v>64</v>
      </c>
      <c r="C94" s="7" t="n">
        <v>69146.7</v>
      </c>
      <c r="D94" s="7" t="n">
        <v>68840</v>
      </c>
      <c r="E94" s="7" t="n">
        <v>0.0044552585705984</v>
      </c>
      <c r="F94" s="7" t="s">
        <v>60</v>
      </c>
      <c r="G94" s="7" t="s">
        <v>459</v>
      </c>
      <c r="H94" s="7" t="s">
        <v>66</v>
      </c>
      <c r="I94" s="32" t="b">
        <f aca="false">FALSE()</f>
        <v>0</v>
      </c>
      <c r="J94" s="32" t="b">
        <f aca="false">TRUE()</f>
        <v>1</v>
      </c>
      <c r="K94" s="32" t="b">
        <f aca="false">FALSE()</f>
        <v>0</v>
      </c>
      <c r="L94" s="7" t="s">
        <v>445</v>
      </c>
      <c r="M94" s="7" t="s">
        <v>446</v>
      </c>
      <c r="N94" s="7" t="s">
        <v>467</v>
      </c>
      <c r="O94" s="7" t="n">
        <v>68920.98</v>
      </c>
      <c r="P94" s="7" t="n">
        <v>68530.22</v>
      </c>
      <c r="Q94" s="7" t="n">
        <v>14.55</v>
      </c>
      <c r="R94" s="7" t="s">
        <v>69</v>
      </c>
    </row>
    <row r="95" customFormat="false" ht="15" hidden="false" customHeight="false" outlineLevel="0" collapsed="false">
      <c r="A95" s="7" t="s">
        <v>242</v>
      </c>
      <c r="B95" s="7" t="s">
        <v>63</v>
      </c>
      <c r="C95" s="7" t="n">
        <v>68612.5</v>
      </c>
      <c r="D95" s="7" t="n">
        <v>68394.2</v>
      </c>
      <c r="E95" s="7" t="n">
        <v>0.0031917911167906</v>
      </c>
      <c r="F95" s="7" t="s">
        <v>60</v>
      </c>
      <c r="G95" s="7" t="s">
        <v>448</v>
      </c>
      <c r="H95" s="7" t="s">
        <v>67</v>
      </c>
      <c r="I95" s="32" t="b">
        <f aca="false">FALSE()</f>
        <v>0</v>
      </c>
      <c r="J95" s="32" t="b">
        <f aca="false">TRUE()</f>
        <v>1</v>
      </c>
      <c r="K95" s="32" t="b">
        <f aca="false">FALSE()</f>
        <v>0</v>
      </c>
      <c r="L95" s="7" t="s">
        <v>445</v>
      </c>
      <c r="M95" s="7" t="s">
        <v>446</v>
      </c>
      <c r="N95" s="7" t="s">
        <v>476</v>
      </c>
      <c r="O95" s="7" t="n">
        <v>68498.3</v>
      </c>
      <c r="P95" s="7" t="n">
        <v>68921.26</v>
      </c>
      <c r="Q95" s="7" t="n">
        <v>-91.21</v>
      </c>
      <c r="R95" s="7" t="s">
        <v>70</v>
      </c>
    </row>
    <row r="96" customFormat="false" ht="15" hidden="false" customHeight="false" outlineLevel="0" collapsed="false">
      <c r="A96" s="7" t="s">
        <v>242</v>
      </c>
      <c r="B96" s="7" t="s">
        <v>64</v>
      </c>
      <c r="C96" s="7" t="n">
        <v>68857.9</v>
      </c>
      <c r="D96" s="7" t="n">
        <v>68225</v>
      </c>
      <c r="E96" s="7" t="n">
        <v>0.0092766581165261</v>
      </c>
      <c r="F96" s="7" t="s">
        <v>60</v>
      </c>
      <c r="G96" s="7" t="s">
        <v>459</v>
      </c>
      <c r="H96" s="7" t="s">
        <v>66</v>
      </c>
      <c r="I96" s="32" t="b">
        <f aca="false">FALSE()</f>
        <v>0</v>
      </c>
      <c r="J96" s="32" t="b">
        <f aca="false">TRUE()</f>
        <v>1</v>
      </c>
      <c r="K96" s="32" t="b">
        <f aca="false">FALSE()</f>
        <v>0</v>
      </c>
      <c r="L96" s="7" t="s">
        <v>445</v>
      </c>
      <c r="M96" s="7" t="s">
        <v>446</v>
      </c>
      <c r="N96" s="7" t="s">
        <v>460</v>
      </c>
      <c r="O96" s="7" t="n">
        <v>68369.17</v>
      </c>
      <c r="P96" s="7" t="n">
        <v>67917.99</v>
      </c>
      <c r="Q96" s="7" t="n">
        <v>14.28</v>
      </c>
      <c r="R96" s="7" t="s">
        <v>69</v>
      </c>
    </row>
    <row r="97" customFormat="false" ht="15" hidden="false" customHeight="false" outlineLevel="0" collapsed="false">
      <c r="A97" s="7" t="s">
        <v>243</v>
      </c>
      <c r="B97" s="7" t="s">
        <v>63</v>
      </c>
      <c r="C97" s="7" t="n">
        <v>68451.8</v>
      </c>
      <c r="D97" s="7" t="n">
        <v>68133.1</v>
      </c>
      <c r="E97" s="7" t="n">
        <v>0.0046776089741989</v>
      </c>
      <c r="F97" s="7" t="s">
        <v>60</v>
      </c>
      <c r="G97" s="7" t="s">
        <v>448</v>
      </c>
      <c r="H97" s="7" t="s">
        <v>67</v>
      </c>
      <c r="I97" s="32" t="b">
        <f aca="false">FALSE()</f>
        <v>0</v>
      </c>
      <c r="J97" s="32" t="b">
        <f aca="false">TRUE()</f>
        <v>1</v>
      </c>
      <c r="K97" s="32" t="b">
        <f aca="false">FALSE()</f>
        <v>0</v>
      </c>
      <c r="L97" s="7" t="s">
        <v>445</v>
      </c>
      <c r="M97" s="7" t="s">
        <v>446</v>
      </c>
      <c r="N97" s="7" t="s">
        <v>469</v>
      </c>
      <c r="O97" s="7" t="n">
        <v>68339.73</v>
      </c>
      <c r="P97" s="7" t="n">
        <v>68759.83</v>
      </c>
      <c r="Q97" s="7" t="n">
        <v>13.56</v>
      </c>
      <c r="R97" s="7" t="s">
        <v>69</v>
      </c>
    </row>
    <row r="98" customFormat="false" ht="15" hidden="false" customHeight="false" outlineLevel="0" collapsed="false">
      <c r="A98" s="7" t="s">
        <v>243</v>
      </c>
      <c r="B98" s="7" t="s">
        <v>64</v>
      </c>
      <c r="C98" s="7" t="n">
        <v>68100</v>
      </c>
      <c r="D98" s="7" t="n">
        <v>67924.9</v>
      </c>
      <c r="E98" s="7" t="n">
        <v>0.0025778470045595</v>
      </c>
      <c r="F98" s="7" t="s">
        <v>450</v>
      </c>
      <c r="G98" s="7" t="s">
        <v>451</v>
      </c>
      <c r="H98" s="7" t="s">
        <v>450</v>
      </c>
      <c r="I98" s="32" t="b">
        <f aca="false">FALSE()</f>
        <v>0</v>
      </c>
      <c r="J98" s="32" t="b">
        <f aca="false">FALSE()</f>
        <v>0</v>
      </c>
      <c r="K98" s="32" t="b">
        <f aca="false">FALSE()</f>
        <v>0</v>
      </c>
      <c r="L98" s="7" t="s">
        <v>445</v>
      </c>
      <c r="M98" s="7" t="s">
        <v>452</v>
      </c>
      <c r="N98" s="7" t="s">
        <v>453</v>
      </c>
      <c r="O98" s="7"/>
      <c r="P98" s="7"/>
      <c r="Q98" s="7"/>
      <c r="R98" s="7"/>
    </row>
    <row r="99" customFormat="false" ht="15" hidden="false" customHeight="false" outlineLevel="0" collapsed="false">
      <c r="A99" s="7" t="s">
        <v>244</v>
      </c>
      <c r="B99" s="7" t="s">
        <v>63</v>
      </c>
      <c r="C99" s="7" t="n">
        <v>68076</v>
      </c>
      <c r="D99" s="7" t="n">
        <v>67707.2</v>
      </c>
      <c r="E99" s="7" t="n">
        <v>0.0054469834818158</v>
      </c>
      <c r="F99" s="7" t="s">
        <v>450</v>
      </c>
      <c r="G99" s="7" t="s">
        <v>451</v>
      </c>
      <c r="H99" s="7" t="s">
        <v>450</v>
      </c>
      <c r="I99" s="32" t="b">
        <f aca="false">FALSE()</f>
        <v>0</v>
      </c>
      <c r="J99" s="32" t="b">
        <f aca="false">FALSE()</f>
        <v>0</v>
      </c>
      <c r="K99" s="32" t="b">
        <f aca="false">FALSE()</f>
        <v>0</v>
      </c>
      <c r="L99" s="7" t="s">
        <v>445</v>
      </c>
      <c r="M99" s="7" t="s">
        <v>452</v>
      </c>
      <c r="N99" s="7" t="s">
        <v>453</v>
      </c>
      <c r="O99" s="7"/>
      <c r="P99" s="7"/>
      <c r="Q99" s="7"/>
      <c r="R99" s="7"/>
    </row>
    <row r="100" customFormat="false" ht="15" hidden="false" customHeight="false" outlineLevel="0" collapsed="false">
      <c r="A100" s="7" t="s">
        <v>244</v>
      </c>
      <c r="B100" s="7" t="s">
        <v>64</v>
      </c>
      <c r="C100" s="7" t="n">
        <v>67455.3</v>
      </c>
      <c r="D100" s="7" t="n">
        <v>67179.3</v>
      </c>
      <c r="E100" s="7" t="n">
        <v>0.0041084083936569</v>
      </c>
      <c r="F100" s="7" t="s">
        <v>60</v>
      </c>
      <c r="G100" s="7" t="s">
        <v>459</v>
      </c>
      <c r="H100" s="7" t="s">
        <v>66</v>
      </c>
      <c r="I100" s="32" t="b">
        <f aca="false">FALSE()</f>
        <v>0</v>
      </c>
      <c r="J100" s="32" t="b">
        <f aca="false">TRUE()</f>
        <v>1</v>
      </c>
      <c r="K100" s="32" t="b">
        <f aca="false">FALSE()</f>
        <v>0</v>
      </c>
      <c r="L100" s="7" t="s">
        <v>445</v>
      </c>
      <c r="M100" s="7" t="s">
        <v>446</v>
      </c>
      <c r="N100" s="7" t="s">
        <v>460</v>
      </c>
      <c r="O100" s="7" t="n">
        <v>67215.74</v>
      </c>
      <c r="P100" s="7" t="n">
        <v>66876.99</v>
      </c>
      <c r="Q100" s="7" t="n">
        <v>-114.07</v>
      </c>
      <c r="R100" s="7" t="s">
        <v>70</v>
      </c>
    </row>
    <row r="101" customFormat="false" ht="15" hidden="false" customHeight="false" outlineLevel="0" collapsed="false">
      <c r="A101" s="7" t="s">
        <v>245</v>
      </c>
      <c r="B101" s="7" t="s">
        <v>63</v>
      </c>
      <c r="C101" s="7" t="n">
        <v>67299.4</v>
      </c>
      <c r="D101" s="7" t="n">
        <v>67080.1</v>
      </c>
      <c r="E101" s="7" t="n">
        <v>0.0032692258956082</v>
      </c>
      <c r="F101" s="7" t="s">
        <v>60</v>
      </c>
      <c r="G101" s="7" t="s">
        <v>459</v>
      </c>
      <c r="H101" s="7" t="s">
        <v>66</v>
      </c>
      <c r="I101" s="32" t="b">
        <f aca="false">FALSE()</f>
        <v>0</v>
      </c>
      <c r="J101" s="32" t="b">
        <f aca="false">TRUE()</f>
        <v>1</v>
      </c>
      <c r="K101" s="32" t="b">
        <f aca="false">FALSE()</f>
        <v>0</v>
      </c>
      <c r="L101" s="7" t="s">
        <v>445</v>
      </c>
      <c r="M101" s="7" t="s">
        <v>446</v>
      </c>
      <c r="N101" s="7" t="s">
        <v>460</v>
      </c>
      <c r="O101" s="7" t="n">
        <v>67193.84</v>
      </c>
      <c r="P101" s="7" t="n">
        <v>66778.24</v>
      </c>
      <c r="Q101" s="7" t="n">
        <v>-89.52</v>
      </c>
      <c r="R101" s="7" t="s">
        <v>70</v>
      </c>
    </row>
    <row r="102" customFormat="false" ht="15" hidden="false" customHeight="false" outlineLevel="0" collapsed="false">
      <c r="A102" s="7" t="s">
        <v>245</v>
      </c>
      <c r="B102" s="7" t="s">
        <v>64</v>
      </c>
      <c r="C102" s="7" t="n">
        <v>66267.3</v>
      </c>
      <c r="D102" s="7" t="n">
        <v>65885.3</v>
      </c>
      <c r="E102" s="7" t="n">
        <v>0.005797954930766</v>
      </c>
      <c r="F102" s="7" t="s">
        <v>450</v>
      </c>
      <c r="G102" s="7" t="s">
        <v>451</v>
      </c>
      <c r="H102" s="7" t="s">
        <v>450</v>
      </c>
      <c r="I102" s="32" t="b">
        <f aca="false">FALSE()</f>
        <v>0</v>
      </c>
      <c r="J102" s="32" t="b">
        <f aca="false">FALSE()</f>
        <v>0</v>
      </c>
      <c r="K102" s="32" t="b">
        <f aca="false">FALSE()</f>
        <v>0</v>
      </c>
      <c r="L102" s="7" t="s">
        <v>445</v>
      </c>
      <c r="M102" s="7" t="s">
        <v>452</v>
      </c>
      <c r="N102" s="7" t="s">
        <v>453</v>
      </c>
      <c r="O102" s="7"/>
      <c r="P102" s="7"/>
      <c r="Q102" s="7"/>
      <c r="R102" s="7"/>
    </row>
    <row r="103" customFormat="false" ht="15" hidden="false" customHeight="false" outlineLevel="0" collapsed="false">
      <c r="A103" s="7" t="s">
        <v>246</v>
      </c>
      <c r="B103" s="7" t="s">
        <v>63</v>
      </c>
      <c r="C103" s="7" t="n">
        <v>67917</v>
      </c>
      <c r="D103" s="7" t="n">
        <v>67825.3</v>
      </c>
      <c r="E103" s="7" t="n">
        <v>0.001352002866187</v>
      </c>
      <c r="F103" s="7" t="s">
        <v>450</v>
      </c>
      <c r="G103" s="7" t="s">
        <v>451</v>
      </c>
      <c r="H103" s="7" t="s">
        <v>450</v>
      </c>
      <c r="I103" s="32" t="b">
        <f aca="false">FALSE()</f>
        <v>0</v>
      </c>
      <c r="J103" s="32" t="b">
        <f aca="false">FALSE()</f>
        <v>0</v>
      </c>
      <c r="K103" s="32" t="b">
        <f aca="false">FALSE()</f>
        <v>0</v>
      </c>
      <c r="L103" s="7" t="s">
        <v>445</v>
      </c>
      <c r="M103" s="7" t="s">
        <v>452</v>
      </c>
      <c r="N103" s="7" t="s">
        <v>453</v>
      </c>
      <c r="O103" s="7"/>
      <c r="P103" s="7"/>
      <c r="Q103" s="7"/>
      <c r="R103" s="7"/>
    </row>
    <row r="104" customFormat="false" ht="15" hidden="false" customHeight="false" outlineLevel="0" collapsed="false">
      <c r="A104" s="7" t="s">
        <v>246</v>
      </c>
      <c r="B104" s="7" t="s">
        <v>64</v>
      </c>
      <c r="C104" s="7" t="n">
        <v>67184.4</v>
      </c>
      <c r="D104" s="7" t="n">
        <v>66408.1</v>
      </c>
      <c r="E104" s="7" t="n">
        <v>0.0116898390407192</v>
      </c>
      <c r="F104" s="7" t="s">
        <v>60</v>
      </c>
      <c r="G104" s="7" t="s">
        <v>448</v>
      </c>
      <c r="H104" s="7" t="s">
        <v>67</v>
      </c>
      <c r="I104" s="32" t="b">
        <f aca="false">FALSE()</f>
        <v>0</v>
      </c>
      <c r="J104" s="32" t="b">
        <f aca="false">TRUE()</f>
        <v>1</v>
      </c>
      <c r="K104" s="32" t="b">
        <f aca="false">FALSE()</f>
        <v>0</v>
      </c>
      <c r="L104" s="7" t="s">
        <v>445</v>
      </c>
      <c r="M104" s="7" t="s">
        <v>446</v>
      </c>
      <c r="N104" s="7" t="s">
        <v>469</v>
      </c>
      <c r="O104" s="7" t="n">
        <v>67028.89</v>
      </c>
      <c r="P104" s="7" t="n">
        <v>67486.73</v>
      </c>
      <c r="Q104" s="7" t="n">
        <v>-96.91</v>
      </c>
      <c r="R104" s="7" t="s">
        <v>70</v>
      </c>
    </row>
    <row r="105" customFormat="false" ht="15" hidden="false" customHeight="false" outlineLevel="0" collapsed="false">
      <c r="A105" s="7" t="s">
        <v>487</v>
      </c>
      <c r="B105" s="7" t="s">
        <v>63</v>
      </c>
      <c r="C105" s="7" t="n">
        <v>67852.5</v>
      </c>
      <c r="D105" s="7" t="n">
        <v>67785</v>
      </c>
      <c r="E105" s="7" t="n">
        <v>0.0009957955299845</v>
      </c>
      <c r="F105" s="7" t="s">
        <v>450</v>
      </c>
      <c r="G105" s="7" t="s">
        <v>451</v>
      </c>
      <c r="H105" s="7" t="s">
        <v>450</v>
      </c>
      <c r="I105" s="32" t="b">
        <f aca="false">FALSE()</f>
        <v>0</v>
      </c>
      <c r="J105" s="32" t="b">
        <f aca="false">FALSE()</f>
        <v>0</v>
      </c>
      <c r="K105" s="32" t="b">
        <f aca="false">FALSE()</f>
        <v>0</v>
      </c>
      <c r="L105" s="7" t="s">
        <v>445</v>
      </c>
      <c r="M105" s="7" t="s">
        <v>452</v>
      </c>
      <c r="N105" s="7" t="s">
        <v>453</v>
      </c>
      <c r="O105" s="7"/>
      <c r="P105" s="7"/>
      <c r="Q105" s="7"/>
      <c r="R105" s="7"/>
    </row>
    <row r="106" customFormat="false" ht="15" hidden="false" customHeight="false" outlineLevel="0" collapsed="false">
      <c r="A106" s="7" t="s">
        <v>487</v>
      </c>
      <c r="B106" s="7" t="s">
        <v>64</v>
      </c>
      <c r="C106" s="7" t="n">
        <v>68222.3</v>
      </c>
      <c r="D106" s="7" t="n">
        <v>68136</v>
      </c>
      <c r="E106" s="7" t="n">
        <v>0.0012665844781026</v>
      </c>
      <c r="F106" s="7" t="s">
        <v>450</v>
      </c>
      <c r="G106" s="7" t="s">
        <v>451</v>
      </c>
      <c r="H106" s="7" t="s">
        <v>450</v>
      </c>
      <c r="I106" s="32" t="b">
        <f aca="false">FALSE()</f>
        <v>0</v>
      </c>
      <c r="J106" s="32" t="b">
        <f aca="false">FALSE()</f>
        <v>0</v>
      </c>
      <c r="K106" s="32" t="b">
        <f aca="false">FALSE()</f>
        <v>0</v>
      </c>
      <c r="L106" s="7" t="s">
        <v>445</v>
      </c>
      <c r="M106" s="7" t="s">
        <v>452</v>
      </c>
      <c r="N106" s="7" t="s">
        <v>453</v>
      </c>
      <c r="O106" s="7"/>
      <c r="P106" s="7"/>
      <c r="Q106" s="7"/>
      <c r="R106" s="7"/>
    </row>
    <row r="107" customFormat="false" ht="15" hidden="false" customHeight="false" outlineLevel="0" collapsed="false">
      <c r="A107" s="7" t="s">
        <v>247</v>
      </c>
      <c r="B107" s="7" t="s">
        <v>63</v>
      </c>
      <c r="C107" s="7" t="n">
        <v>68067.2</v>
      </c>
      <c r="D107" s="7" t="n">
        <v>67984.7</v>
      </c>
      <c r="E107" s="7" t="n">
        <v>0.0012135083334926</v>
      </c>
      <c r="F107" s="7" t="s">
        <v>450</v>
      </c>
      <c r="G107" s="7" t="s">
        <v>451</v>
      </c>
      <c r="H107" s="7" t="s">
        <v>450</v>
      </c>
      <c r="I107" s="32" t="b">
        <f aca="false">FALSE()</f>
        <v>0</v>
      </c>
      <c r="J107" s="32" t="b">
        <f aca="false">FALSE()</f>
        <v>0</v>
      </c>
      <c r="K107" s="32" t="b">
        <f aca="false">FALSE()</f>
        <v>0</v>
      </c>
      <c r="L107" s="7" t="s">
        <v>445</v>
      </c>
      <c r="M107" s="7" t="s">
        <v>452</v>
      </c>
      <c r="N107" s="7" t="s">
        <v>453</v>
      </c>
      <c r="O107" s="7"/>
      <c r="P107" s="7"/>
      <c r="Q107" s="7"/>
      <c r="R107" s="7"/>
    </row>
    <row r="108" customFormat="false" ht="15" hidden="false" customHeight="false" outlineLevel="0" collapsed="false">
      <c r="A108" s="7" t="s">
        <v>247</v>
      </c>
      <c r="B108" s="7" t="s">
        <v>64</v>
      </c>
      <c r="C108" s="7" t="n">
        <v>67934.4</v>
      </c>
      <c r="D108" s="7" t="n">
        <v>67538</v>
      </c>
      <c r="E108" s="7" t="n">
        <v>0.005869288400604</v>
      </c>
      <c r="F108" s="7" t="s">
        <v>60</v>
      </c>
      <c r="G108" s="7" t="s">
        <v>459</v>
      </c>
      <c r="H108" s="7" t="s">
        <v>66</v>
      </c>
      <c r="I108" s="32" t="b">
        <f aca="false">FALSE()</f>
        <v>0</v>
      </c>
      <c r="J108" s="32" t="b">
        <f aca="false">TRUE()</f>
        <v>1</v>
      </c>
      <c r="K108" s="32" t="b">
        <f aca="false">FALSE()</f>
        <v>0</v>
      </c>
      <c r="L108" s="7" t="s">
        <v>445</v>
      </c>
      <c r="M108" s="7" t="s">
        <v>446</v>
      </c>
      <c r="N108" s="7" t="s">
        <v>488</v>
      </c>
      <c r="O108" s="7" t="n">
        <v>67634.22</v>
      </c>
      <c r="P108" s="7" t="n">
        <v>67234.08</v>
      </c>
      <c r="Q108" s="7" t="n">
        <v>-87.32</v>
      </c>
      <c r="R108" s="7" t="s">
        <v>70</v>
      </c>
    </row>
    <row r="109" customFormat="false" ht="15" hidden="false" customHeight="false" outlineLevel="0" collapsed="false">
      <c r="A109" s="7" t="s">
        <v>489</v>
      </c>
      <c r="B109" s="7" t="s">
        <v>63</v>
      </c>
      <c r="C109" s="7" t="n">
        <v>65980</v>
      </c>
      <c r="D109" s="7" t="n">
        <v>65638.1</v>
      </c>
      <c r="E109" s="7" t="n">
        <v>0.0052088649732395</v>
      </c>
      <c r="F109" s="7" t="s">
        <v>450</v>
      </c>
      <c r="G109" s="7" t="s">
        <v>451</v>
      </c>
      <c r="H109" s="7" t="s">
        <v>450</v>
      </c>
      <c r="I109" s="32" t="b">
        <f aca="false">FALSE()</f>
        <v>0</v>
      </c>
      <c r="J109" s="32" t="b">
        <f aca="false">FALSE()</f>
        <v>0</v>
      </c>
      <c r="K109" s="32" t="b">
        <f aca="false">FALSE()</f>
        <v>0</v>
      </c>
      <c r="L109" s="7" t="s">
        <v>445</v>
      </c>
      <c r="M109" s="7" t="s">
        <v>452</v>
      </c>
      <c r="N109" s="7" t="s">
        <v>458</v>
      </c>
      <c r="O109" s="7"/>
      <c r="P109" s="7"/>
      <c r="Q109" s="7"/>
      <c r="R109" s="7"/>
    </row>
    <row r="110" customFormat="false" ht="15" hidden="false" customHeight="false" outlineLevel="0" collapsed="false">
      <c r="A110" s="7" t="s">
        <v>489</v>
      </c>
      <c r="B110" s="7" t="s">
        <v>64</v>
      </c>
      <c r="C110" s="7" t="n">
        <v>66397.8</v>
      </c>
      <c r="D110" s="7" t="n">
        <v>66104.2</v>
      </c>
      <c r="E110" s="7" t="n">
        <v>0.0044414727052139</v>
      </c>
      <c r="F110" s="7" t="s">
        <v>450</v>
      </c>
      <c r="G110" s="7" t="s">
        <v>451</v>
      </c>
      <c r="H110" s="7" t="s">
        <v>450</v>
      </c>
      <c r="I110" s="32" t="b">
        <f aca="false">FALSE()</f>
        <v>0</v>
      </c>
      <c r="J110" s="32" t="b">
        <f aca="false">FALSE()</f>
        <v>0</v>
      </c>
      <c r="K110" s="32" t="b">
        <f aca="false">FALSE()</f>
        <v>0</v>
      </c>
      <c r="L110" s="7" t="s">
        <v>445</v>
      </c>
      <c r="M110" s="7" t="s">
        <v>452</v>
      </c>
      <c r="N110" s="7" t="s">
        <v>458</v>
      </c>
      <c r="O110" s="7"/>
      <c r="P110" s="7"/>
      <c r="Q110" s="7"/>
      <c r="R110" s="7"/>
    </row>
    <row r="111" customFormat="false" ht="15" hidden="false" customHeight="false" outlineLevel="0" collapsed="false">
      <c r="A111" s="7" t="s">
        <v>248</v>
      </c>
      <c r="B111" s="7" t="s">
        <v>63</v>
      </c>
      <c r="C111" s="7" t="n">
        <v>63273.9</v>
      </c>
      <c r="D111" s="7" t="n">
        <v>63050</v>
      </c>
      <c r="E111" s="7" t="n">
        <v>0.0035511498810468</v>
      </c>
      <c r="F111" s="7" t="s">
        <v>60</v>
      </c>
      <c r="G111" s="7" t="s">
        <v>459</v>
      </c>
      <c r="H111" s="7" t="s">
        <v>66</v>
      </c>
      <c r="I111" s="32" t="b">
        <f aca="false">FALSE()</f>
        <v>0</v>
      </c>
      <c r="J111" s="32" t="b">
        <f aca="false">TRUE()</f>
        <v>1</v>
      </c>
      <c r="K111" s="32" t="b">
        <f aca="false">FALSE()</f>
        <v>0</v>
      </c>
      <c r="L111" s="7" t="s">
        <v>445</v>
      </c>
      <c r="M111" s="7" t="s">
        <v>446</v>
      </c>
      <c r="N111" s="7" t="s">
        <v>465</v>
      </c>
      <c r="O111" s="7" t="n">
        <v>63168.03</v>
      </c>
      <c r="P111" s="7" t="n">
        <v>62766.28</v>
      </c>
      <c r="Q111" s="7" t="n">
        <v>16.65</v>
      </c>
      <c r="R111" s="7" t="s">
        <v>69</v>
      </c>
    </row>
    <row r="112" customFormat="false" ht="15" hidden="false" customHeight="false" outlineLevel="0" collapsed="false">
      <c r="A112" s="7" t="s">
        <v>248</v>
      </c>
      <c r="B112" s="7" t="s">
        <v>64</v>
      </c>
      <c r="C112" s="7" t="n">
        <v>63083.7</v>
      </c>
      <c r="D112" s="7" t="n">
        <v>62401.7</v>
      </c>
      <c r="E112" s="7" t="n">
        <v>0.0109291894291341</v>
      </c>
      <c r="F112" s="7" t="s">
        <v>450</v>
      </c>
      <c r="G112" s="7" t="s">
        <v>451</v>
      </c>
      <c r="H112" s="7" t="s">
        <v>450</v>
      </c>
      <c r="I112" s="32" t="b">
        <f aca="false">FALSE()</f>
        <v>0</v>
      </c>
      <c r="J112" s="32" t="b">
        <f aca="false">FALSE()</f>
        <v>0</v>
      </c>
      <c r="K112" s="32" t="b">
        <f aca="false">FALSE()</f>
        <v>0</v>
      </c>
      <c r="L112" s="7" t="s">
        <v>445</v>
      </c>
      <c r="M112" s="7" t="s">
        <v>452</v>
      </c>
      <c r="N112" s="7" t="s">
        <v>453</v>
      </c>
      <c r="O112" s="7"/>
      <c r="P112" s="7"/>
      <c r="Q112" s="7"/>
      <c r="R112" s="7"/>
    </row>
    <row r="113" customFormat="false" ht="15" hidden="false" customHeight="false" outlineLevel="0" collapsed="false">
      <c r="A113" s="7" t="s">
        <v>249</v>
      </c>
      <c r="B113" s="7" t="s">
        <v>63</v>
      </c>
      <c r="C113" s="7" t="n">
        <v>65159.9</v>
      </c>
      <c r="D113" s="7" t="n">
        <v>64818.1</v>
      </c>
      <c r="E113" s="7" t="n">
        <v>0.0052732184374426</v>
      </c>
      <c r="F113" s="7" t="s">
        <v>450</v>
      </c>
      <c r="G113" s="7" t="s">
        <v>451</v>
      </c>
      <c r="H113" s="7" t="s">
        <v>450</v>
      </c>
      <c r="I113" s="32" t="b">
        <f aca="false">FALSE()</f>
        <v>0</v>
      </c>
      <c r="J113" s="32" t="b">
        <f aca="false">FALSE()</f>
        <v>0</v>
      </c>
      <c r="K113" s="32" t="b">
        <f aca="false">FALSE()</f>
        <v>0</v>
      </c>
      <c r="L113" s="7" t="s">
        <v>445</v>
      </c>
      <c r="M113" s="7" t="s">
        <v>452</v>
      </c>
      <c r="N113" s="7" t="s">
        <v>453</v>
      </c>
      <c r="O113" s="7"/>
      <c r="P113" s="7"/>
      <c r="Q113" s="7"/>
      <c r="R113" s="7"/>
    </row>
    <row r="114" customFormat="false" ht="15" hidden="false" customHeight="false" outlineLevel="0" collapsed="false">
      <c r="A114" s="7" t="s">
        <v>249</v>
      </c>
      <c r="B114" s="7" t="s">
        <v>64</v>
      </c>
      <c r="C114" s="7" t="n">
        <v>66399.9</v>
      </c>
      <c r="D114" s="7" t="n">
        <v>66105.5</v>
      </c>
      <c r="E114" s="7" t="n">
        <v>0.0044534872287478</v>
      </c>
      <c r="F114" s="7" t="s">
        <v>60</v>
      </c>
      <c r="G114" s="7" t="s">
        <v>448</v>
      </c>
      <c r="H114" s="7" t="s">
        <v>67</v>
      </c>
      <c r="I114" s="32" t="b">
        <f aca="false">FALSE()</f>
        <v>0</v>
      </c>
      <c r="J114" s="32" t="b">
        <f aca="false">TRUE()</f>
        <v>1</v>
      </c>
      <c r="K114" s="32" t="b">
        <f aca="false">FALSE()</f>
        <v>0</v>
      </c>
      <c r="L114" s="7" t="s">
        <v>445</v>
      </c>
      <c r="M114" s="7" t="s">
        <v>446</v>
      </c>
      <c r="N114" s="7" t="s">
        <v>469</v>
      </c>
      <c r="O114" s="7" t="n">
        <v>66196.26</v>
      </c>
      <c r="P114" s="7" t="n">
        <v>66698.7</v>
      </c>
      <c r="Q114" s="7" t="n">
        <v>-104.6</v>
      </c>
      <c r="R114" s="7" t="s">
        <v>70</v>
      </c>
    </row>
    <row r="115" customFormat="false" ht="15" hidden="false" customHeight="false" outlineLevel="0" collapsed="false">
      <c r="A115" s="7" t="s">
        <v>250</v>
      </c>
      <c r="B115" s="7" t="s">
        <v>63</v>
      </c>
      <c r="C115" s="7" t="n">
        <v>68165.7</v>
      </c>
      <c r="D115" s="7" t="n">
        <v>67958.3</v>
      </c>
      <c r="E115" s="7" t="n">
        <v>0.0030518715153262</v>
      </c>
      <c r="F115" s="7" t="s">
        <v>59</v>
      </c>
      <c r="G115" s="7" t="s">
        <v>444</v>
      </c>
      <c r="H115" s="7" t="s">
        <v>67</v>
      </c>
      <c r="I115" s="32" t="b">
        <f aca="false">TRUE()</f>
        <v>1</v>
      </c>
      <c r="J115" s="32" t="b">
        <f aca="false">FALSE()</f>
        <v>0</v>
      </c>
      <c r="K115" s="32" t="b">
        <f aca="false">FALSE()</f>
        <v>0</v>
      </c>
      <c r="L115" s="7" t="s">
        <v>445</v>
      </c>
      <c r="M115" s="7" t="s">
        <v>446</v>
      </c>
      <c r="N115" s="7" t="s">
        <v>490</v>
      </c>
      <c r="O115" s="7" t="n">
        <v>67786.44</v>
      </c>
      <c r="P115" s="7" t="n">
        <v>68060.24</v>
      </c>
      <c r="Q115" s="7" t="n">
        <v>-129.4</v>
      </c>
      <c r="R115" s="7" t="s">
        <v>70</v>
      </c>
    </row>
    <row r="116" customFormat="false" ht="15" hidden="false" customHeight="false" outlineLevel="0" collapsed="false">
      <c r="A116" s="7" t="s">
        <v>250</v>
      </c>
      <c r="B116" s="7" t="s">
        <v>64</v>
      </c>
      <c r="C116" s="7" t="n">
        <v>68159.6</v>
      </c>
      <c r="D116" s="7" t="n">
        <v>67940</v>
      </c>
      <c r="E116" s="7" t="n">
        <v>0.0032322637621431</v>
      </c>
      <c r="F116" s="7" t="s">
        <v>450</v>
      </c>
      <c r="G116" s="7" t="s">
        <v>451</v>
      </c>
      <c r="H116" s="7" t="s">
        <v>450</v>
      </c>
      <c r="I116" s="32" t="b">
        <f aca="false">FALSE()</f>
        <v>0</v>
      </c>
      <c r="J116" s="32" t="b">
        <f aca="false">FALSE()</f>
        <v>0</v>
      </c>
      <c r="K116" s="32" t="b">
        <f aca="false">FALSE()</f>
        <v>0</v>
      </c>
      <c r="L116" s="7" t="s">
        <v>445</v>
      </c>
      <c r="M116" s="7" t="s">
        <v>452</v>
      </c>
      <c r="N116" s="7" t="s">
        <v>453</v>
      </c>
      <c r="O116" s="7"/>
      <c r="P116" s="7"/>
      <c r="Q116" s="7"/>
      <c r="R116" s="7"/>
    </row>
    <row r="117" customFormat="false" ht="15" hidden="false" customHeight="false" outlineLevel="0" collapsed="false">
      <c r="A117" s="7" t="s">
        <v>251</v>
      </c>
      <c r="B117" s="7" t="s">
        <v>63</v>
      </c>
      <c r="C117" s="7" t="n">
        <v>67590.2</v>
      </c>
      <c r="D117" s="7" t="n">
        <v>67417.4</v>
      </c>
      <c r="E117" s="7" t="n">
        <v>0.0025631365196522</v>
      </c>
      <c r="F117" s="7" t="s">
        <v>450</v>
      </c>
      <c r="G117" s="7" t="s">
        <v>451</v>
      </c>
      <c r="H117" s="7" t="s">
        <v>450</v>
      </c>
      <c r="I117" s="32" t="b">
        <f aca="false">FALSE()</f>
        <v>0</v>
      </c>
      <c r="J117" s="32" t="b">
        <f aca="false">FALSE()</f>
        <v>0</v>
      </c>
      <c r="K117" s="32" t="b">
        <f aca="false">FALSE()</f>
        <v>0</v>
      </c>
      <c r="L117" s="7" t="s">
        <v>445</v>
      </c>
      <c r="M117" s="7" t="s">
        <v>452</v>
      </c>
      <c r="N117" s="7" t="s">
        <v>453</v>
      </c>
      <c r="O117" s="7"/>
      <c r="P117" s="7"/>
      <c r="Q117" s="7"/>
      <c r="R117" s="7"/>
    </row>
    <row r="118" customFormat="false" ht="15" hidden="false" customHeight="false" outlineLevel="0" collapsed="false">
      <c r="A118" s="7" t="s">
        <v>251</v>
      </c>
      <c r="B118" s="7" t="s">
        <v>64</v>
      </c>
      <c r="C118" s="7" t="n">
        <v>66032</v>
      </c>
      <c r="D118" s="7" t="n">
        <v>65626.1</v>
      </c>
      <c r="E118" s="7" t="n">
        <v>0.006185039184105</v>
      </c>
      <c r="F118" s="7" t="s">
        <v>59</v>
      </c>
      <c r="G118" s="7" t="s">
        <v>444</v>
      </c>
      <c r="H118" s="7" t="s">
        <v>66</v>
      </c>
      <c r="I118" s="32" t="b">
        <f aca="false">TRUE()</f>
        <v>1</v>
      </c>
      <c r="J118" s="32" t="b">
        <f aca="false">FALSE()</f>
        <v>0</v>
      </c>
      <c r="K118" s="32" t="b">
        <f aca="false">FALSE()</f>
        <v>0</v>
      </c>
      <c r="L118" s="7" t="s">
        <v>445</v>
      </c>
      <c r="M118" s="7" t="s">
        <v>446</v>
      </c>
      <c r="N118" s="7" t="s">
        <v>491</v>
      </c>
      <c r="O118" s="7" t="n">
        <v>66253.25</v>
      </c>
      <c r="P118" s="7" t="n">
        <v>65932.95</v>
      </c>
      <c r="Q118" s="7" t="n">
        <v>-108.79</v>
      </c>
      <c r="R118" s="7" t="s">
        <v>70</v>
      </c>
    </row>
    <row r="119" customFormat="false" ht="15" hidden="false" customHeight="false" outlineLevel="0" collapsed="false">
      <c r="A119" s="7" t="s">
        <v>252</v>
      </c>
      <c r="B119" s="7" t="s">
        <v>63</v>
      </c>
      <c r="C119" s="7" t="n">
        <v>64298.7</v>
      </c>
      <c r="D119" s="7" t="n">
        <v>63422</v>
      </c>
      <c r="E119" s="7" t="n">
        <v>0.0138232789883636</v>
      </c>
      <c r="F119" s="7" t="s">
        <v>60</v>
      </c>
      <c r="G119" s="7" t="s">
        <v>459</v>
      </c>
      <c r="H119" s="7" t="s">
        <v>66</v>
      </c>
      <c r="I119" s="32" t="b">
        <f aca="false">FALSE()</f>
        <v>0</v>
      </c>
      <c r="J119" s="32" t="b">
        <f aca="false">TRUE()</f>
        <v>1</v>
      </c>
      <c r="K119" s="32" t="b">
        <f aca="false">FALSE()</f>
        <v>0</v>
      </c>
      <c r="L119" s="7" t="s">
        <v>445</v>
      </c>
      <c r="M119" s="7" t="s">
        <v>446</v>
      </c>
      <c r="N119" s="7" t="s">
        <v>467</v>
      </c>
      <c r="O119" s="7" t="n">
        <v>63603.72</v>
      </c>
      <c r="P119" s="7" t="n">
        <v>63136.6</v>
      </c>
      <c r="Q119" s="7" t="n">
        <v>22.87</v>
      </c>
      <c r="R119" s="7" t="s">
        <v>69</v>
      </c>
    </row>
    <row r="120" customFormat="false" ht="15" hidden="false" customHeight="false" outlineLevel="0" collapsed="false">
      <c r="A120" s="7" t="s">
        <v>252</v>
      </c>
      <c r="B120" s="7" t="s">
        <v>64</v>
      </c>
      <c r="C120" s="7" t="n">
        <v>64069.2</v>
      </c>
      <c r="D120" s="7" t="n">
        <v>63870.8</v>
      </c>
      <c r="E120" s="7" t="n">
        <v>0.0031062707841454</v>
      </c>
      <c r="F120" s="7" t="s">
        <v>59</v>
      </c>
      <c r="G120" s="7" t="s">
        <v>444</v>
      </c>
      <c r="H120" s="7" t="s">
        <v>66</v>
      </c>
      <c r="I120" s="32" t="b">
        <f aca="false">TRUE()</f>
        <v>1</v>
      </c>
      <c r="J120" s="32" t="b">
        <f aca="false">FALSE()</f>
        <v>0</v>
      </c>
      <c r="K120" s="32" t="b">
        <f aca="false">FALSE()</f>
        <v>0</v>
      </c>
      <c r="L120" s="7" t="s">
        <v>445</v>
      </c>
      <c r="M120" s="7" t="s">
        <v>446</v>
      </c>
      <c r="N120" s="7" t="s">
        <v>492</v>
      </c>
      <c r="O120" s="7" t="n">
        <v>65082.51</v>
      </c>
      <c r="P120" s="7" t="n">
        <v>63973.1</v>
      </c>
      <c r="Q120" s="7" t="n">
        <v>62.66</v>
      </c>
      <c r="R120" s="7" t="s">
        <v>69</v>
      </c>
    </row>
    <row r="121" customFormat="false" ht="15" hidden="false" customHeight="false" outlineLevel="0" collapsed="false">
      <c r="A121" s="7" t="s">
        <v>253</v>
      </c>
      <c r="B121" s="7" t="s">
        <v>63</v>
      </c>
      <c r="C121" s="7" t="n">
        <v>67201.2</v>
      </c>
      <c r="D121" s="7" t="n">
        <v>66877.5</v>
      </c>
      <c r="E121" s="7" t="n">
        <v>0.0048401928899853</v>
      </c>
      <c r="F121" s="7" t="s">
        <v>450</v>
      </c>
      <c r="G121" s="7" t="s">
        <v>451</v>
      </c>
      <c r="H121" s="7" t="s">
        <v>450</v>
      </c>
      <c r="I121" s="32" t="b">
        <f aca="false">FALSE()</f>
        <v>0</v>
      </c>
      <c r="J121" s="32" t="b">
        <f aca="false">FALSE()</f>
        <v>0</v>
      </c>
      <c r="K121" s="32" t="b">
        <f aca="false">FALSE()</f>
        <v>0</v>
      </c>
      <c r="L121" s="7" t="s">
        <v>445</v>
      </c>
      <c r="M121" s="7" t="s">
        <v>452</v>
      </c>
      <c r="N121" s="7" t="s">
        <v>453</v>
      </c>
      <c r="O121" s="7"/>
      <c r="P121" s="7"/>
      <c r="Q121" s="7"/>
      <c r="R121" s="7"/>
    </row>
    <row r="122" customFormat="false" ht="15" hidden="false" customHeight="false" outlineLevel="0" collapsed="false">
      <c r="A122" s="7" t="s">
        <v>253</v>
      </c>
      <c r="B122" s="7" t="s">
        <v>64</v>
      </c>
      <c r="C122" s="7" t="n">
        <v>66358.6</v>
      </c>
      <c r="D122" s="7" t="n">
        <v>66207.2</v>
      </c>
      <c r="E122" s="7" t="n">
        <v>0.0022867603523485</v>
      </c>
      <c r="F122" s="7" t="s">
        <v>59</v>
      </c>
      <c r="G122" s="7" t="s">
        <v>444</v>
      </c>
      <c r="H122" s="7" t="s">
        <v>66</v>
      </c>
      <c r="I122" s="32" t="b">
        <f aca="false">TRUE()</f>
        <v>1</v>
      </c>
      <c r="J122" s="32" t="b">
        <f aca="false">FALSE()</f>
        <v>0</v>
      </c>
      <c r="K122" s="32" t="b">
        <f aca="false">FALSE()</f>
        <v>0</v>
      </c>
      <c r="L122" s="7" t="s">
        <v>445</v>
      </c>
      <c r="M122" s="7" t="s">
        <v>446</v>
      </c>
      <c r="N122" s="7" t="s">
        <v>493</v>
      </c>
      <c r="O122" s="7" t="n">
        <v>66920.58</v>
      </c>
      <c r="P122" s="7" t="n">
        <v>66259.06</v>
      </c>
      <c r="Q122" s="7" t="n">
        <v>8.95</v>
      </c>
      <c r="R122" s="7" t="s">
        <v>69</v>
      </c>
    </row>
    <row r="123" customFormat="false" ht="15" hidden="false" customHeight="false" outlineLevel="0" collapsed="false">
      <c r="A123" s="7" t="s">
        <v>494</v>
      </c>
      <c r="B123" s="7" t="s">
        <v>63</v>
      </c>
      <c r="C123" s="7" t="n">
        <v>65956.4</v>
      </c>
      <c r="D123" s="7" t="n">
        <v>65750.1</v>
      </c>
      <c r="E123" s="7" t="n">
        <v>0.0031376378134784</v>
      </c>
      <c r="F123" s="7" t="s">
        <v>450</v>
      </c>
      <c r="G123" s="7" t="s">
        <v>451</v>
      </c>
      <c r="H123" s="7" t="s">
        <v>450</v>
      </c>
      <c r="I123" s="32" t="b">
        <f aca="false">FALSE()</f>
        <v>0</v>
      </c>
      <c r="J123" s="32" t="b">
        <f aca="false">FALSE()</f>
        <v>0</v>
      </c>
      <c r="K123" s="32" t="b">
        <f aca="false">FALSE()</f>
        <v>0</v>
      </c>
      <c r="L123" s="7" t="s">
        <v>445</v>
      </c>
      <c r="M123" s="7" t="s">
        <v>452</v>
      </c>
      <c r="N123" s="7" t="s">
        <v>453</v>
      </c>
      <c r="O123" s="7"/>
      <c r="P123" s="7"/>
      <c r="Q123" s="7"/>
      <c r="R123" s="7"/>
    </row>
    <row r="124" customFormat="false" ht="15" hidden="false" customHeight="false" outlineLevel="0" collapsed="false">
      <c r="A124" s="7" t="s">
        <v>494</v>
      </c>
      <c r="B124" s="7" t="s">
        <v>64</v>
      </c>
      <c r="C124" s="7" t="n">
        <v>65907.5</v>
      </c>
      <c r="D124" s="7" t="n">
        <v>65475.8</v>
      </c>
      <c r="E124" s="7" t="n">
        <v>0.0065932756835349</v>
      </c>
      <c r="F124" s="7" t="s">
        <v>450</v>
      </c>
      <c r="G124" s="7" t="s">
        <v>451</v>
      </c>
      <c r="H124" s="7" t="s">
        <v>450</v>
      </c>
      <c r="I124" s="32" t="b">
        <f aca="false">FALSE()</f>
        <v>0</v>
      </c>
      <c r="J124" s="32" t="b">
        <f aca="false">FALSE()</f>
        <v>0</v>
      </c>
      <c r="K124" s="32" t="b">
        <f aca="false">FALSE()</f>
        <v>0</v>
      </c>
      <c r="L124" s="7" t="s">
        <v>445</v>
      </c>
      <c r="M124" s="7" t="s">
        <v>452</v>
      </c>
      <c r="N124" s="7" t="s">
        <v>453</v>
      </c>
      <c r="O124" s="7"/>
      <c r="P124" s="7"/>
      <c r="Q124" s="7"/>
      <c r="R124" s="7"/>
    </row>
    <row r="125" customFormat="false" ht="15" hidden="false" customHeight="false" outlineLevel="0" collapsed="false">
      <c r="A125" s="7" t="s">
        <v>254</v>
      </c>
      <c r="B125" s="7" t="s">
        <v>63</v>
      </c>
      <c r="C125" s="7" t="n">
        <v>68208.7</v>
      </c>
      <c r="D125" s="7" t="n">
        <v>68027.7</v>
      </c>
      <c r="E125" s="7" t="n">
        <v>0.0026606808697045</v>
      </c>
      <c r="F125" s="7" t="s">
        <v>60</v>
      </c>
      <c r="G125" s="7" t="s">
        <v>448</v>
      </c>
      <c r="H125" s="7" t="s">
        <v>67</v>
      </c>
      <c r="I125" s="32" t="b">
        <f aca="false">FALSE()</f>
        <v>0</v>
      </c>
      <c r="J125" s="32" t="b">
        <f aca="false">TRUE()</f>
        <v>1</v>
      </c>
      <c r="K125" s="32" t="b">
        <f aca="false">FALSE()</f>
        <v>0</v>
      </c>
      <c r="L125" s="7" t="s">
        <v>445</v>
      </c>
      <c r="M125" s="7" t="s">
        <v>446</v>
      </c>
      <c r="N125" s="7" t="s">
        <v>472</v>
      </c>
      <c r="O125" s="7" t="n">
        <v>68124.57</v>
      </c>
      <c r="P125" s="7" t="n">
        <v>68515.64</v>
      </c>
      <c r="Q125" s="7" t="n">
        <v>103.86</v>
      </c>
      <c r="R125" s="7" t="s">
        <v>69</v>
      </c>
    </row>
    <row r="126" customFormat="false" ht="15" hidden="false" customHeight="false" outlineLevel="0" collapsed="false">
      <c r="A126" s="7" t="s">
        <v>254</v>
      </c>
      <c r="B126" s="7" t="s">
        <v>64</v>
      </c>
      <c r="C126" s="7" t="n">
        <v>67076.8</v>
      </c>
      <c r="D126" s="7" t="n">
        <v>66810</v>
      </c>
      <c r="E126" s="7" t="n">
        <v>0.0039934141595569</v>
      </c>
      <c r="F126" s="7" t="s">
        <v>60</v>
      </c>
      <c r="G126" s="7" t="s">
        <v>459</v>
      </c>
      <c r="H126" s="7" t="s">
        <v>66</v>
      </c>
      <c r="I126" s="32" t="b">
        <f aca="false">FALSE()</f>
        <v>0</v>
      </c>
      <c r="J126" s="32" t="b">
        <f aca="false">TRUE()</f>
        <v>1</v>
      </c>
      <c r="K126" s="32" t="b">
        <f aca="false">FALSE()</f>
        <v>0</v>
      </c>
      <c r="L126" s="7" t="s">
        <v>445</v>
      </c>
      <c r="M126" s="7" t="s">
        <v>446</v>
      </c>
      <c r="N126" s="7" t="s">
        <v>460</v>
      </c>
      <c r="O126" s="7" t="n">
        <v>66907.08</v>
      </c>
      <c r="P126" s="7" t="n">
        <v>66509.36</v>
      </c>
      <c r="Q126" s="7" t="n">
        <v>21.68</v>
      </c>
      <c r="R126" s="7" t="s">
        <v>69</v>
      </c>
    </row>
    <row r="127" customFormat="false" ht="15" hidden="false" customHeight="false" outlineLevel="0" collapsed="false">
      <c r="A127" s="7" t="s">
        <v>255</v>
      </c>
      <c r="B127" s="7" t="s">
        <v>63</v>
      </c>
      <c r="C127" s="7" t="n">
        <v>68988</v>
      </c>
      <c r="D127" s="7" t="n">
        <v>68601.3</v>
      </c>
      <c r="E127" s="7" t="n">
        <v>0.0056369194169789</v>
      </c>
      <c r="F127" s="7" t="s">
        <v>59</v>
      </c>
      <c r="G127" s="7" t="s">
        <v>444</v>
      </c>
      <c r="H127" s="7" t="s">
        <v>66</v>
      </c>
      <c r="I127" s="32" t="b">
        <f aca="false">TRUE()</f>
        <v>1</v>
      </c>
      <c r="J127" s="32" t="b">
        <f aca="false">FALSE()</f>
        <v>0</v>
      </c>
      <c r="K127" s="32" t="b">
        <f aca="false">FALSE()</f>
        <v>0</v>
      </c>
      <c r="L127" s="7" t="s">
        <v>445</v>
      </c>
      <c r="M127" s="7" t="s">
        <v>446</v>
      </c>
      <c r="N127" s="7" t="s">
        <v>495</v>
      </c>
      <c r="O127" s="7" t="n">
        <v>69478.39</v>
      </c>
      <c r="P127" s="7" t="n">
        <v>68884.52</v>
      </c>
      <c r="Q127" s="7" t="n">
        <v>129.91</v>
      </c>
      <c r="R127" s="7" t="s">
        <v>69</v>
      </c>
    </row>
    <row r="128" customFormat="false" ht="15" hidden="false" customHeight="false" outlineLevel="0" collapsed="false">
      <c r="A128" s="7" t="s">
        <v>255</v>
      </c>
      <c r="B128" s="7" t="s">
        <v>64</v>
      </c>
      <c r="C128" s="7" t="n">
        <v>71533.3</v>
      </c>
      <c r="D128" s="7" t="n">
        <v>71216.7</v>
      </c>
      <c r="E128" s="7" t="n">
        <v>0.0044455864986724</v>
      </c>
      <c r="F128" s="7" t="s">
        <v>450</v>
      </c>
      <c r="G128" s="7" t="s">
        <v>451</v>
      </c>
      <c r="H128" s="7" t="s">
        <v>450</v>
      </c>
      <c r="I128" s="32" t="b">
        <f aca="false">FALSE()</f>
        <v>0</v>
      </c>
      <c r="J128" s="32" t="b">
        <f aca="false">FALSE()</f>
        <v>0</v>
      </c>
      <c r="K128" s="32" t="b">
        <f aca="false">FALSE()</f>
        <v>0</v>
      </c>
      <c r="L128" s="7" t="s">
        <v>445</v>
      </c>
      <c r="M128" s="7" t="s">
        <v>452</v>
      </c>
      <c r="N128" s="7" t="s">
        <v>453</v>
      </c>
      <c r="O128" s="7"/>
      <c r="P128" s="7"/>
      <c r="Q128" s="7"/>
      <c r="R128" s="7"/>
    </row>
    <row r="129" customFormat="false" ht="15" hidden="false" customHeight="false" outlineLevel="0" collapsed="false">
      <c r="A129" s="7" t="s">
        <v>256</v>
      </c>
      <c r="B129" s="7" t="s">
        <v>63</v>
      </c>
      <c r="C129" s="7" t="n">
        <v>72495.4</v>
      </c>
      <c r="D129" s="7" t="n">
        <v>72141.1</v>
      </c>
      <c r="E129" s="7" t="n">
        <v>0.00491120872845</v>
      </c>
      <c r="F129" s="7" t="s">
        <v>450</v>
      </c>
      <c r="G129" s="7" t="s">
        <v>451</v>
      </c>
      <c r="H129" s="7" t="s">
        <v>450</v>
      </c>
      <c r="I129" s="32" t="b">
        <f aca="false">FALSE()</f>
        <v>0</v>
      </c>
      <c r="J129" s="32" t="b">
        <f aca="false">FALSE()</f>
        <v>0</v>
      </c>
      <c r="K129" s="32" t="b">
        <f aca="false">FALSE()</f>
        <v>0</v>
      </c>
      <c r="L129" s="7" t="s">
        <v>445</v>
      </c>
      <c r="M129" s="7" t="s">
        <v>452</v>
      </c>
      <c r="N129" s="7" t="s">
        <v>453</v>
      </c>
      <c r="O129" s="7"/>
      <c r="P129" s="7"/>
      <c r="Q129" s="7"/>
      <c r="R129" s="7"/>
    </row>
    <row r="130" customFormat="false" ht="15" hidden="false" customHeight="false" outlineLevel="0" collapsed="false">
      <c r="A130" s="7" t="s">
        <v>256</v>
      </c>
      <c r="B130" s="7" t="s">
        <v>64</v>
      </c>
      <c r="C130" s="7" t="n">
        <v>72519</v>
      </c>
      <c r="D130" s="7" t="n">
        <v>72150.1</v>
      </c>
      <c r="E130" s="7" t="n">
        <v>0.0051129520264004</v>
      </c>
      <c r="F130" s="7" t="s">
        <v>60</v>
      </c>
      <c r="G130" s="7" t="s">
        <v>448</v>
      </c>
      <c r="H130" s="7" t="s">
        <v>67</v>
      </c>
      <c r="I130" s="32" t="b">
        <f aca="false">FALSE()</f>
        <v>0</v>
      </c>
      <c r="J130" s="32" t="b">
        <f aca="false">TRUE()</f>
        <v>1</v>
      </c>
      <c r="K130" s="32" t="b">
        <f aca="false">FALSE()</f>
        <v>0</v>
      </c>
      <c r="L130" s="7" t="s">
        <v>445</v>
      </c>
      <c r="M130" s="7" t="s">
        <v>446</v>
      </c>
      <c r="N130" s="7" t="s">
        <v>469</v>
      </c>
      <c r="O130" s="7" t="n">
        <v>72421.01</v>
      </c>
      <c r="P130" s="7" t="n">
        <v>72845.34</v>
      </c>
      <c r="Q130" s="7" t="n">
        <v>37.5</v>
      </c>
      <c r="R130" s="7" t="s">
        <v>69</v>
      </c>
    </row>
    <row r="131" customFormat="false" ht="15" hidden="false" customHeight="false" outlineLevel="0" collapsed="false">
      <c r="A131" s="7" t="s">
        <v>257</v>
      </c>
      <c r="B131" s="7" t="s">
        <v>63</v>
      </c>
      <c r="C131" s="7" t="n">
        <v>71046.3</v>
      </c>
      <c r="D131" s="7" t="n">
        <v>70827.8</v>
      </c>
      <c r="E131" s="7" t="n">
        <v>0.0030849468711438</v>
      </c>
      <c r="F131" s="7" t="s">
        <v>60</v>
      </c>
      <c r="G131" s="7" t="s">
        <v>448</v>
      </c>
      <c r="H131" s="7" t="s">
        <v>67</v>
      </c>
      <c r="I131" s="32" t="b">
        <f aca="false">FALSE()</f>
        <v>0</v>
      </c>
      <c r="J131" s="32" t="b">
        <f aca="false">TRUE()</f>
        <v>1</v>
      </c>
      <c r="K131" s="32" t="b">
        <f aca="false">FALSE()</f>
        <v>0</v>
      </c>
      <c r="L131" s="7" t="s">
        <v>445</v>
      </c>
      <c r="M131" s="7" t="s">
        <v>446</v>
      </c>
      <c r="N131" s="7" t="s">
        <v>449</v>
      </c>
      <c r="O131" s="7" t="n">
        <v>71012.49</v>
      </c>
      <c r="P131" s="7" t="n">
        <v>71366.01</v>
      </c>
      <c r="Q131" s="7" t="n">
        <v>12.99</v>
      </c>
      <c r="R131" s="7" t="s">
        <v>69</v>
      </c>
    </row>
    <row r="132" customFormat="false" ht="15" hidden="false" customHeight="false" outlineLevel="0" collapsed="false">
      <c r="A132" s="7" t="s">
        <v>257</v>
      </c>
      <c r="B132" s="7" t="s">
        <v>64</v>
      </c>
      <c r="C132" s="7" t="n">
        <v>70328.5</v>
      </c>
      <c r="D132" s="7" t="n">
        <v>69753.1</v>
      </c>
      <c r="E132" s="7" t="n">
        <v>0.008249095739114</v>
      </c>
      <c r="F132" s="7" t="s">
        <v>59</v>
      </c>
      <c r="G132" s="7" t="s">
        <v>444</v>
      </c>
      <c r="H132" s="7" t="s">
        <v>67</v>
      </c>
      <c r="I132" s="32" t="b">
        <f aca="false">TRUE()</f>
        <v>1</v>
      </c>
      <c r="J132" s="32" t="b">
        <f aca="false">FALSE()</f>
        <v>0</v>
      </c>
      <c r="K132" s="32" t="b">
        <f aca="false">FALSE()</f>
        <v>0</v>
      </c>
      <c r="L132" s="7" t="s">
        <v>445</v>
      </c>
      <c r="M132" s="7" t="s">
        <v>446</v>
      </c>
      <c r="N132" s="7" t="s">
        <v>496</v>
      </c>
      <c r="O132" s="7" t="n">
        <v>69175.76</v>
      </c>
      <c r="P132" s="7" t="n">
        <v>69857.73</v>
      </c>
      <c r="Q132" s="7" t="n">
        <v>27.26</v>
      </c>
      <c r="R132" s="7" t="s">
        <v>69</v>
      </c>
    </row>
    <row r="133" customFormat="false" ht="15" hidden="false" customHeight="false" outlineLevel="0" collapsed="false">
      <c r="A133" s="7" t="s">
        <v>497</v>
      </c>
      <c r="B133" s="7" t="s">
        <v>63</v>
      </c>
      <c r="C133" s="7" t="n">
        <v>67767</v>
      </c>
      <c r="D133" s="7" t="n">
        <v>67624.4</v>
      </c>
      <c r="E133" s="7" t="n">
        <v>0.002108706324936</v>
      </c>
      <c r="F133" s="7" t="s">
        <v>450</v>
      </c>
      <c r="G133" s="7" t="s">
        <v>451</v>
      </c>
      <c r="H133" s="7" t="s">
        <v>450</v>
      </c>
      <c r="I133" s="32" t="b">
        <f aca="false">FALSE()</f>
        <v>0</v>
      </c>
      <c r="J133" s="32" t="b">
        <f aca="false">FALSE()</f>
        <v>0</v>
      </c>
      <c r="K133" s="32" t="b">
        <f aca="false">FALSE()</f>
        <v>0</v>
      </c>
      <c r="L133" s="7" t="s">
        <v>445</v>
      </c>
      <c r="M133" s="7" t="s">
        <v>452</v>
      </c>
      <c r="N133" s="7" t="s">
        <v>453</v>
      </c>
      <c r="O133" s="7"/>
      <c r="P133" s="7"/>
      <c r="Q133" s="7"/>
      <c r="R133" s="7"/>
    </row>
    <row r="134" customFormat="false" ht="15" hidden="false" customHeight="false" outlineLevel="0" collapsed="false">
      <c r="A134" s="7" t="s">
        <v>497</v>
      </c>
      <c r="B134" s="7" t="s">
        <v>64</v>
      </c>
      <c r="C134" s="7" t="n">
        <v>68009.1</v>
      </c>
      <c r="D134" s="7" t="n">
        <v>67810</v>
      </c>
      <c r="E134" s="7" t="n">
        <v>0.0029361451113405</v>
      </c>
      <c r="F134" s="7" t="s">
        <v>450</v>
      </c>
      <c r="G134" s="7" t="s">
        <v>451</v>
      </c>
      <c r="H134" s="7" t="s">
        <v>450</v>
      </c>
      <c r="I134" s="32" t="b">
        <f aca="false">FALSE()</f>
        <v>0</v>
      </c>
      <c r="J134" s="32" t="b">
        <f aca="false">FALSE()</f>
        <v>0</v>
      </c>
      <c r="K134" s="32" t="b">
        <f aca="false">FALSE()</f>
        <v>0</v>
      </c>
      <c r="L134" s="7" t="s">
        <v>445</v>
      </c>
      <c r="M134" s="7" t="s">
        <v>452</v>
      </c>
      <c r="N134" s="7" t="s">
        <v>453</v>
      </c>
      <c r="O134" s="7"/>
      <c r="P134" s="7"/>
      <c r="Q134" s="7"/>
      <c r="R134" s="7"/>
    </row>
    <row r="135" customFormat="false" ht="15" hidden="false" customHeight="false" outlineLevel="0" collapsed="false">
      <c r="A135" s="7" t="s">
        <v>258</v>
      </c>
      <c r="B135" s="7" t="s">
        <v>63</v>
      </c>
      <c r="C135" s="7" t="n">
        <v>67331.9</v>
      </c>
      <c r="D135" s="7" t="n">
        <v>67260</v>
      </c>
      <c r="E135" s="7" t="n">
        <v>0.0010689860243829</v>
      </c>
      <c r="F135" s="7" t="s">
        <v>60</v>
      </c>
      <c r="G135" s="7" t="s">
        <v>448</v>
      </c>
      <c r="H135" s="7" t="s">
        <v>67</v>
      </c>
      <c r="I135" s="32" t="b">
        <f aca="false">FALSE()</f>
        <v>0</v>
      </c>
      <c r="J135" s="32" t="b">
        <f aca="false">TRUE()</f>
        <v>1</v>
      </c>
      <c r="K135" s="32" t="b">
        <f aca="false">FALSE()</f>
        <v>0</v>
      </c>
      <c r="L135" s="7" t="s">
        <v>445</v>
      </c>
      <c r="M135" s="7" t="s">
        <v>446</v>
      </c>
      <c r="N135" s="7" t="s">
        <v>449</v>
      </c>
      <c r="O135" s="7" t="n">
        <v>67263.64</v>
      </c>
      <c r="P135" s="7" t="n">
        <v>67634.89</v>
      </c>
      <c r="Q135" s="7" t="n">
        <v>-122.76</v>
      </c>
      <c r="R135" s="7" t="s">
        <v>70</v>
      </c>
    </row>
    <row r="136" customFormat="false" ht="15" hidden="false" customHeight="false" outlineLevel="0" collapsed="false">
      <c r="A136" s="7" t="s">
        <v>258</v>
      </c>
      <c r="B136" s="7" t="s">
        <v>64</v>
      </c>
      <c r="C136" s="7" t="n">
        <v>67123.7</v>
      </c>
      <c r="D136" s="7" t="n">
        <v>66800</v>
      </c>
      <c r="E136" s="7" t="n">
        <v>0.0048458083832334</v>
      </c>
      <c r="F136" s="7" t="s">
        <v>450</v>
      </c>
      <c r="G136" s="7" t="s">
        <v>451</v>
      </c>
      <c r="H136" s="7" t="s">
        <v>450</v>
      </c>
      <c r="I136" s="32" t="b">
        <f aca="false">FALSE()</f>
        <v>0</v>
      </c>
      <c r="J136" s="32" t="b">
        <f aca="false">FALSE()</f>
        <v>0</v>
      </c>
      <c r="K136" s="32" t="b">
        <f aca="false">FALSE()</f>
        <v>0</v>
      </c>
      <c r="L136" s="7" t="s">
        <v>445</v>
      </c>
      <c r="M136" s="7" t="s">
        <v>452</v>
      </c>
      <c r="N136" s="7" t="s">
        <v>453</v>
      </c>
      <c r="O136" s="7"/>
      <c r="P136" s="7"/>
      <c r="Q136" s="7"/>
      <c r="R136" s="7"/>
    </row>
    <row r="137" customFormat="false" ht="15" hidden="false" customHeight="false" outlineLevel="0" collapsed="false">
      <c r="A137" s="7" t="s">
        <v>259</v>
      </c>
      <c r="B137" s="7" t="s">
        <v>63</v>
      </c>
      <c r="C137" s="7" t="n">
        <v>67446.2</v>
      </c>
      <c r="D137" s="7" t="n">
        <v>67173.3</v>
      </c>
      <c r="E137" s="7" t="n">
        <v>0.0040626260731569</v>
      </c>
      <c r="F137" s="7" t="s">
        <v>450</v>
      </c>
      <c r="G137" s="7" t="s">
        <v>451</v>
      </c>
      <c r="H137" s="7" t="s">
        <v>450</v>
      </c>
      <c r="I137" s="32" t="b">
        <f aca="false">FALSE()</f>
        <v>0</v>
      </c>
      <c r="J137" s="32" t="b">
        <f aca="false">FALSE()</f>
        <v>0</v>
      </c>
      <c r="K137" s="32" t="b">
        <f aca="false">FALSE()</f>
        <v>0</v>
      </c>
      <c r="L137" s="7" t="s">
        <v>445</v>
      </c>
      <c r="M137" s="7" t="s">
        <v>452</v>
      </c>
      <c r="N137" s="7" t="s">
        <v>453</v>
      </c>
      <c r="O137" s="7"/>
      <c r="P137" s="7"/>
      <c r="Q137" s="7"/>
      <c r="R137" s="7"/>
    </row>
    <row r="138" customFormat="false" ht="15" hidden="false" customHeight="false" outlineLevel="0" collapsed="false">
      <c r="A138" s="7" t="s">
        <v>259</v>
      </c>
      <c r="B138" s="7" t="s">
        <v>64</v>
      </c>
      <c r="C138" s="7" t="n">
        <v>69247.2</v>
      </c>
      <c r="D138" s="7" t="n">
        <v>68683.6</v>
      </c>
      <c r="E138" s="7" t="n">
        <v>0.0082057434380258</v>
      </c>
      <c r="F138" s="7" t="s">
        <v>60</v>
      </c>
      <c r="G138" s="7" t="s">
        <v>448</v>
      </c>
      <c r="H138" s="7" t="s">
        <v>67</v>
      </c>
      <c r="I138" s="32" t="b">
        <f aca="false">FALSE()</f>
        <v>0</v>
      </c>
      <c r="J138" s="32" t="b">
        <f aca="false">TRUE()</f>
        <v>1</v>
      </c>
      <c r="K138" s="32" t="b">
        <f aca="false">FALSE()</f>
        <v>0</v>
      </c>
      <c r="L138" s="7" t="s">
        <v>445</v>
      </c>
      <c r="M138" s="7" t="s">
        <v>446</v>
      </c>
      <c r="N138" s="7" t="s">
        <v>472</v>
      </c>
      <c r="O138" s="7" t="n">
        <v>68926.21</v>
      </c>
      <c r="P138" s="7" t="n">
        <v>69558.81</v>
      </c>
      <c r="Q138" s="7" t="n">
        <v>7.43</v>
      </c>
      <c r="R138" s="7" t="s">
        <v>69</v>
      </c>
    </row>
    <row r="139" customFormat="false" ht="15" hidden="false" customHeight="false" outlineLevel="0" collapsed="false">
      <c r="A139" s="7" t="s">
        <v>260</v>
      </c>
      <c r="B139" s="7" t="s">
        <v>63</v>
      </c>
      <c r="C139" s="7" t="n">
        <v>70375.1</v>
      </c>
      <c r="D139" s="7" t="n">
        <v>70260</v>
      </c>
      <c r="E139" s="7" t="n">
        <v>0.0016382009678338</v>
      </c>
      <c r="F139" s="7" t="s">
        <v>60</v>
      </c>
      <c r="G139" s="7" t="s">
        <v>459</v>
      </c>
      <c r="H139" s="7" t="s">
        <v>66</v>
      </c>
      <c r="I139" s="32" t="b">
        <f aca="false">FALSE()</f>
        <v>0</v>
      </c>
      <c r="J139" s="32" t="b">
        <f aca="false">TRUE()</f>
        <v>1</v>
      </c>
      <c r="K139" s="32" t="b">
        <f aca="false">FALSE()</f>
        <v>0</v>
      </c>
      <c r="L139" s="7" t="s">
        <v>445</v>
      </c>
      <c r="M139" s="7" t="s">
        <v>446</v>
      </c>
      <c r="N139" s="7" t="s">
        <v>465</v>
      </c>
      <c r="O139" s="7" t="n">
        <v>70388.77</v>
      </c>
      <c r="P139" s="7" t="n">
        <v>69943.83</v>
      </c>
      <c r="Q139" s="7" t="n">
        <v>37.65</v>
      </c>
      <c r="R139" s="7" t="s">
        <v>69</v>
      </c>
    </row>
    <row r="140" customFormat="false" ht="15" hidden="false" customHeight="false" outlineLevel="0" collapsed="false">
      <c r="A140" s="7" t="s">
        <v>260</v>
      </c>
      <c r="B140" s="7" t="s">
        <v>64</v>
      </c>
      <c r="C140" s="7" t="n">
        <v>70888</v>
      </c>
      <c r="D140" s="7" t="n">
        <v>69680</v>
      </c>
      <c r="E140" s="7" t="n">
        <v>0.0173363949483352</v>
      </c>
      <c r="F140" s="7" t="s">
        <v>450</v>
      </c>
      <c r="G140" s="7" t="s">
        <v>451</v>
      </c>
      <c r="H140" s="7" t="s">
        <v>450</v>
      </c>
      <c r="I140" s="32" t="b">
        <f aca="false">FALSE()</f>
        <v>0</v>
      </c>
      <c r="J140" s="32" t="b">
        <f aca="false">FALSE()</f>
        <v>0</v>
      </c>
      <c r="K140" s="32" t="b">
        <f aca="false">FALSE()</f>
        <v>0</v>
      </c>
      <c r="L140" s="7" t="s">
        <v>445</v>
      </c>
      <c r="M140" s="7" t="s">
        <v>452</v>
      </c>
      <c r="N140" s="7" t="s">
        <v>453</v>
      </c>
      <c r="O140" s="7"/>
      <c r="P140" s="7"/>
      <c r="Q140" s="7"/>
      <c r="R140" s="7"/>
    </row>
    <row r="141" customFormat="false" ht="15" hidden="false" customHeight="false" outlineLevel="0" collapsed="false">
      <c r="A141" s="7" t="s">
        <v>261</v>
      </c>
      <c r="B141" s="7" t="s">
        <v>63</v>
      </c>
      <c r="C141" s="7" t="n">
        <v>69746.8</v>
      </c>
      <c r="D141" s="7" t="n">
        <v>69456.4</v>
      </c>
      <c r="E141" s="7" t="n">
        <v>0.0041810401921206</v>
      </c>
      <c r="F141" s="7" t="s">
        <v>60</v>
      </c>
      <c r="G141" s="7" t="s">
        <v>448</v>
      </c>
      <c r="H141" s="7" t="s">
        <v>67</v>
      </c>
      <c r="I141" s="32" t="b">
        <f aca="false">FALSE()</f>
        <v>0</v>
      </c>
      <c r="J141" s="32" t="b">
        <f aca="false">TRUE()</f>
        <v>1</v>
      </c>
      <c r="K141" s="32" t="b">
        <f aca="false">FALSE()</f>
        <v>0</v>
      </c>
      <c r="L141" s="7" t="s">
        <v>445</v>
      </c>
      <c r="M141" s="7" t="s">
        <v>446</v>
      </c>
      <c r="N141" s="7" t="s">
        <v>454</v>
      </c>
      <c r="O141" s="7" t="n">
        <v>69588.78</v>
      </c>
      <c r="P141" s="7" t="n">
        <v>70060.66</v>
      </c>
      <c r="Q141" s="7" t="n">
        <v>16.59</v>
      </c>
      <c r="R141" s="7" t="s">
        <v>69</v>
      </c>
    </row>
    <row r="142" customFormat="false" ht="15" hidden="false" customHeight="false" outlineLevel="0" collapsed="false">
      <c r="A142" s="7" t="s">
        <v>261</v>
      </c>
      <c r="B142" s="7" t="s">
        <v>64</v>
      </c>
      <c r="C142" s="7" t="n">
        <v>71060.7</v>
      </c>
      <c r="D142" s="7" t="n">
        <v>70161.3</v>
      </c>
      <c r="E142" s="7" t="n">
        <v>0.012819032714616</v>
      </c>
      <c r="F142" s="7" t="s">
        <v>450</v>
      </c>
      <c r="G142" s="7" t="s">
        <v>451</v>
      </c>
      <c r="H142" s="7" t="s">
        <v>450</v>
      </c>
      <c r="I142" s="32" t="b">
        <f aca="false">FALSE()</f>
        <v>0</v>
      </c>
      <c r="J142" s="32" t="b">
        <f aca="false">FALSE()</f>
        <v>0</v>
      </c>
      <c r="K142" s="32" t="b">
        <f aca="false">FALSE()</f>
        <v>0</v>
      </c>
      <c r="L142" s="7" t="s">
        <v>445</v>
      </c>
      <c r="M142" s="7" t="s">
        <v>452</v>
      </c>
      <c r="N142" s="7" t="s">
        <v>453</v>
      </c>
      <c r="O142" s="7"/>
      <c r="P142" s="7"/>
      <c r="Q142" s="7"/>
      <c r="R142" s="7"/>
    </row>
    <row r="143" customFormat="false" ht="15" hidden="false" customHeight="false" outlineLevel="0" collapsed="false">
      <c r="A143" s="7" t="s">
        <v>262</v>
      </c>
      <c r="B143" s="7" t="s">
        <v>63</v>
      </c>
      <c r="C143" s="7" t="n">
        <v>69739.3</v>
      </c>
      <c r="D143" s="7" t="n">
        <v>69561.2</v>
      </c>
      <c r="E143" s="7" t="n">
        <v>0.002560335359367</v>
      </c>
      <c r="F143" s="7" t="s">
        <v>450</v>
      </c>
      <c r="G143" s="7" t="s">
        <v>451</v>
      </c>
      <c r="H143" s="7" t="s">
        <v>450</v>
      </c>
      <c r="I143" s="32" t="b">
        <f aca="false">FALSE()</f>
        <v>0</v>
      </c>
      <c r="J143" s="32" t="b">
        <f aca="false">FALSE()</f>
        <v>0</v>
      </c>
      <c r="K143" s="32" t="b">
        <f aca="false">FALSE()</f>
        <v>0</v>
      </c>
      <c r="L143" s="7" t="s">
        <v>445</v>
      </c>
      <c r="M143" s="7" t="s">
        <v>452</v>
      </c>
      <c r="N143" s="7" t="s">
        <v>453</v>
      </c>
      <c r="O143" s="7"/>
      <c r="P143" s="7"/>
      <c r="Q143" s="7"/>
      <c r="R143" s="7"/>
    </row>
    <row r="144" customFormat="false" ht="15" hidden="false" customHeight="false" outlineLevel="0" collapsed="false">
      <c r="A144" s="7" t="s">
        <v>262</v>
      </c>
      <c r="B144" s="7" t="s">
        <v>64</v>
      </c>
      <c r="C144" s="7" t="n">
        <v>70419.7</v>
      </c>
      <c r="D144" s="7" t="n">
        <v>69901.4</v>
      </c>
      <c r="E144" s="7" t="n">
        <v>0.0074147298909607</v>
      </c>
      <c r="F144" s="7" t="s">
        <v>60</v>
      </c>
      <c r="G144" s="7" t="s">
        <v>459</v>
      </c>
      <c r="H144" s="7" t="s">
        <v>66</v>
      </c>
      <c r="I144" s="32" t="b">
        <f aca="false">FALSE()</f>
        <v>0</v>
      </c>
      <c r="J144" s="32" t="b">
        <f aca="false">TRUE()</f>
        <v>1</v>
      </c>
      <c r="K144" s="32" t="b">
        <f aca="false">FALSE()</f>
        <v>0</v>
      </c>
      <c r="L144" s="7" t="s">
        <v>445</v>
      </c>
      <c r="M144" s="7" t="s">
        <v>446</v>
      </c>
      <c r="N144" s="7" t="s">
        <v>460</v>
      </c>
      <c r="O144" s="7" t="n">
        <v>69944.39</v>
      </c>
      <c r="P144" s="7" t="n">
        <v>69586.84</v>
      </c>
      <c r="Q144" s="7" t="n">
        <v>50.41</v>
      </c>
      <c r="R144" s="7" t="s">
        <v>69</v>
      </c>
    </row>
    <row r="145" customFormat="false" ht="15" hidden="false" customHeight="false" outlineLevel="0" collapsed="false">
      <c r="A145" s="7" t="s">
        <v>498</v>
      </c>
      <c r="B145" s="7" t="s">
        <v>63</v>
      </c>
      <c r="C145" s="7" t="n">
        <v>71561.7</v>
      </c>
      <c r="D145" s="7" t="n">
        <v>71348</v>
      </c>
      <c r="E145" s="7" t="n">
        <v>0.0029951785614172</v>
      </c>
      <c r="F145" s="7" t="s">
        <v>450</v>
      </c>
      <c r="G145" s="7" t="s">
        <v>451</v>
      </c>
      <c r="H145" s="7" t="s">
        <v>450</v>
      </c>
      <c r="I145" s="32" t="b">
        <f aca="false">FALSE()</f>
        <v>0</v>
      </c>
      <c r="J145" s="32" t="b">
        <f aca="false">FALSE()</f>
        <v>0</v>
      </c>
      <c r="K145" s="32" t="b">
        <f aca="false">FALSE()</f>
        <v>0</v>
      </c>
      <c r="L145" s="7" t="s">
        <v>445</v>
      </c>
      <c r="M145" s="7" t="s">
        <v>452</v>
      </c>
      <c r="N145" s="7" t="s">
        <v>453</v>
      </c>
      <c r="O145" s="7"/>
      <c r="P145" s="7"/>
      <c r="Q145" s="7"/>
      <c r="R145" s="7"/>
    </row>
    <row r="146" customFormat="false" ht="15" hidden="false" customHeight="false" outlineLevel="0" collapsed="false">
      <c r="A146" s="7" t="s">
        <v>498</v>
      </c>
      <c r="B146" s="7" t="s">
        <v>64</v>
      </c>
      <c r="C146" s="7" t="n">
        <v>73299</v>
      </c>
      <c r="D146" s="7" t="n">
        <v>72706.9</v>
      </c>
      <c r="E146" s="7" t="n">
        <v>0.0081436562417047</v>
      </c>
      <c r="F146" s="7" t="s">
        <v>450</v>
      </c>
      <c r="G146" s="7" t="s">
        <v>451</v>
      </c>
      <c r="H146" s="7" t="s">
        <v>450</v>
      </c>
      <c r="I146" s="32" t="b">
        <f aca="false">FALSE()</f>
        <v>0</v>
      </c>
      <c r="J146" s="32" t="b">
        <f aca="false">FALSE()</f>
        <v>0</v>
      </c>
      <c r="K146" s="32" t="b">
        <f aca="false">FALSE()</f>
        <v>0</v>
      </c>
      <c r="L146" s="7" t="s">
        <v>445</v>
      </c>
      <c r="M146" s="7" t="s">
        <v>452</v>
      </c>
      <c r="N146" s="7" t="s">
        <v>453</v>
      </c>
      <c r="O146" s="7"/>
      <c r="P146" s="7"/>
      <c r="Q146" s="7"/>
      <c r="R146" s="7"/>
    </row>
    <row r="147" customFormat="false" ht="15" hidden="false" customHeight="false" outlineLevel="0" collapsed="false">
      <c r="A147" s="7" t="s">
        <v>263</v>
      </c>
      <c r="B147" s="7" t="s">
        <v>63</v>
      </c>
      <c r="C147" s="7" t="n">
        <v>70706</v>
      </c>
      <c r="D147" s="7" t="n">
        <v>70444</v>
      </c>
      <c r="E147" s="7" t="n">
        <v>0.0037192663676111</v>
      </c>
      <c r="F147" s="7" t="s">
        <v>60</v>
      </c>
      <c r="G147" s="7" t="s">
        <v>459</v>
      </c>
      <c r="H147" s="7" t="s">
        <v>66</v>
      </c>
      <c r="I147" s="32" t="b">
        <f aca="false">FALSE()</f>
        <v>0</v>
      </c>
      <c r="J147" s="32" t="b">
        <f aca="false">TRUE()</f>
        <v>1</v>
      </c>
      <c r="K147" s="32" t="b">
        <f aca="false">FALSE()</f>
        <v>0</v>
      </c>
      <c r="L147" s="7" t="s">
        <v>445</v>
      </c>
      <c r="M147" s="7" t="s">
        <v>446</v>
      </c>
      <c r="N147" s="7" t="s">
        <v>465</v>
      </c>
      <c r="O147" s="7" t="n">
        <v>70579.71</v>
      </c>
      <c r="P147" s="7" t="n">
        <v>70127</v>
      </c>
      <c r="Q147" s="7" t="n">
        <v>6.89</v>
      </c>
      <c r="R147" s="7" t="s">
        <v>71</v>
      </c>
    </row>
    <row r="148" customFormat="false" ht="15" hidden="false" customHeight="false" outlineLevel="0" collapsed="false">
      <c r="A148" s="7" t="s">
        <v>263</v>
      </c>
      <c r="B148" s="7" t="s">
        <v>64</v>
      </c>
      <c r="C148" s="7" t="n">
        <v>70878.1</v>
      </c>
      <c r="D148" s="7" t="n">
        <v>70818</v>
      </c>
      <c r="E148" s="7" t="n">
        <v>0.0008486542969302</v>
      </c>
      <c r="F148" s="7" t="s">
        <v>450</v>
      </c>
      <c r="G148" s="7" t="s">
        <v>451</v>
      </c>
      <c r="H148" s="7" t="s">
        <v>450</v>
      </c>
      <c r="I148" s="32" t="b">
        <f aca="false">FALSE()</f>
        <v>0</v>
      </c>
      <c r="J148" s="32" t="b">
        <f aca="false">FALSE()</f>
        <v>0</v>
      </c>
      <c r="K148" s="32" t="b">
        <f aca="false">FALSE()</f>
        <v>0</v>
      </c>
      <c r="L148" s="7" t="s">
        <v>445</v>
      </c>
      <c r="M148" s="7" t="s">
        <v>452</v>
      </c>
      <c r="N148" s="7" t="s">
        <v>453</v>
      </c>
      <c r="O148" s="7"/>
      <c r="P148" s="7"/>
      <c r="Q148" s="7"/>
      <c r="R148" s="7"/>
    </row>
    <row r="149" customFormat="false" ht="15" hidden="false" customHeight="false" outlineLevel="0" collapsed="false">
      <c r="A149" s="7" t="s">
        <v>264</v>
      </c>
      <c r="B149" s="7" t="s">
        <v>63</v>
      </c>
      <c r="C149" s="7" t="n">
        <v>71530.5</v>
      </c>
      <c r="D149" s="7" t="n">
        <v>71400.3</v>
      </c>
      <c r="E149" s="7" t="n">
        <v>0.0018235217499085</v>
      </c>
      <c r="F149" s="7" t="s">
        <v>60</v>
      </c>
      <c r="G149" s="7" t="s">
        <v>459</v>
      </c>
      <c r="H149" s="7" t="s">
        <v>66</v>
      </c>
      <c r="I149" s="32" t="b">
        <f aca="false">FALSE()</f>
        <v>0</v>
      </c>
      <c r="J149" s="32" t="b">
        <f aca="false">TRUE()</f>
        <v>1</v>
      </c>
      <c r="K149" s="32" t="b">
        <f aca="false">FALSE()</f>
        <v>0</v>
      </c>
      <c r="L149" s="7" t="s">
        <v>445</v>
      </c>
      <c r="M149" s="7" t="s">
        <v>446</v>
      </c>
      <c r="N149" s="7" t="s">
        <v>460</v>
      </c>
      <c r="O149" s="7" t="n">
        <v>71435.08</v>
      </c>
      <c r="P149" s="7" t="n">
        <v>71079</v>
      </c>
      <c r="Q149" s="7" t="n">
        <v>10.62</v>
      </c>
      <c r="R149" s="7" t="s">
        <v>69</v>
      </c>
    </row>
    <row r="150" customFormat="false" ht="15" hidden="false" customHeight="false" outlineLevel="0" collapsed="false">
      <c r="A150" s="7" t="s">
        <v>264</v>
      </c>
      <c r="B150" s="7" t="s">
        <v>64</v>
      </c>
      <c r="C150" s="7" t="n">
        <v>71560</v>
      </c>
      <c r="D150" s="7" t="n">
        <v>71250</v>
      </c>
      <c r="E150" s="7" t="n">
        <v>0.0043508771929824</v>
      </c>
      <c r="F150" s="7" t="s">
        <v>450</v>
      </c>
      <c r="G150" s="7" t="s">
        <v>451</v>
      </c>
      <c r="H150" s="7" t="s">
        <v>450</v>
      </c>
      <c r="I150" s="32" t="b">
        <f aca="false">FALSE()</f>
        <v>0</v>
      </c>
      <c r="J150" s="32" t="b">
        <f aca="false">FALSE()</f>
        <v>0</v>
      </c>
      <c r="K150" s="32" t="b">
        <f aca="false">FALSE()</f>
        <v>0</v>
      </c>
      <c r="L150" s="7" t="s">
        <v>445</v>
      </c>
      <c r="M150" s="7" t="s">
        <v>452</v>
      </c>
      <c r="N150" s="7" t="s">
        <v>453</v>
      </c>
      <c r="O150" s="7"/>
      <c r="P150" s="7"/>
      <c r="Q150" s="7"/>
      <c r="R150" s="7"/>
    </row>
    <row r="151" customFormat="false" ht="15" hidden="false" customHeight="false" outlineLevel="0" collapsed="false">
      <c r="A151" s="7" t="s">
        <v>265</v>
      </c>
      <c r="B151" s="7" t="s">
        <v>63</v>
      </c>
      <c r="C151" s="7" t="n">
        <v>73836.8</v>
      </c>
      <c r="D151" s="7" t="n">
        <v>73389.2</v>
      </c>
      <c r="E151" s="7" t="n">
        <v>0.0060989900421316</v>
      </c>
      <c r="F151" s="7" t="s">
        <v>60</v>
      </c>
      <c r="G151" s="7" t="s">
        <v>459</v>
      </c>
      <c r="H151" s="7" t="s">
        <v>66</v>
      </c>
      <c r="I151" s="32" t="b">
        <f aca="false">FALSE()</f>
        <v>0</v>
      </c>
      <c r="J151" s="32" t="b">
        <f aca="false">TRUE()</f>
        <v>1</v>
      </c>
      <c r="K151" s="32" t="b">
        <f aca="false">FALSE()</f>
        <v>0</v>
      </c>
      <c r="L151" s="7" t="s">
        <v>445</v>
      </c>
      <c r="M151" s="7" t="s">
        <v>446</v>
      </c>
      <c r="N151" s="7" t="s">
        <v>460</v>
      </c>
      <c r="O151" s="7" t="n">
        <v>73442.49</v>
      </c>
      <c r="P151" s="7" t="n">
        <v>73058.95</v>
      </c>
      <c r="Q151" s="7" t="n">
        <v>18.16</v>
      </c>
      <c r="R151" s="7" t="s">
        <v>69</v>
      </c>
    </row>
    <row r="152" customFormat="false" ht="15" hidden="false" customHeight="false" outlineLevel="0" collapsed="false">
      <c r="A152" s="7" t="s">
        <v>265</v>
      </c>
      <c r="B152" s="7" t="s">
        <v>64</v>
      </c>
      <c r="C152" s="7" t="n">
        <v>74481.5</v>
      </c>
      <c r="D152" s="7" t="n">
        <v>73800</v>
      </c>
      <c r="E152" s="7" t="n">
        <v>0.0092344173441734</v>
      </c>
      <c r="F152" s="7" t="s">
        <v>60</v>
      </c>
      <c r="G152" s="7" t="s">
        <v>459</v>
      </c>
      <c r="H152" s="7" t="s">
        <v>66</v>
      </c>
      <c r="I152" s="32" t="b">
        <f aca="false">FALSE()</f>
        <v>0</v>
      </c>
      <c r="J152" s="32" t="b">
        <f aca="false">TRUE()</f>
        <v>1</v>
      </c>
      <c r="K152" s="32" t="b">
        <f aca="false">FALSE()</f>
        <v>0</v>
      </c>
      <c r="L152" s="7" t="s">
        <v>445</v>
      </c>
      <c r="M152" s="7" t="s">
        <v>446</v>
      </c>
      <c r="N152" s="7" t="s">
        <v>467</v>
      </c>
      <c r="O152" s="7" t="n">
        <v>74089.82</v>
      </c>
      <c r="P152" s="7" t="n">
        <v>73467.9</v>
      </c>
      <c r="Q152" s="7" t="n">
        <v>9.01</v>
      </c>
      <c r="R152" s="7" t="s">
        <v>69</v>
      </c>
    </row>
    <row r="153" customFormat="false" ht="15" hidden="false" customHeight="false" outlineLevel="0" collapsed="false">
      <c r="A153" s="7" t="s">
        <v>499</v>
      </c>
      <c r="B153" s="7" t="s">
        <v>63</v>
      </c>
      <c r="C153" s="7" t="n">
        <v>74365.8</v>
      </c>
      <c r="D153" s="7" t="n">
        <v>74255.4</v>
      </c>
      <c r="E153" s="7" t="n">
        <v>0.0014867605588281</v>
      </c>
      <c r="F153" s="7" t="s">
        <v>450</v>
      </c>
      <c r="G153" s="7" t="s">
        <v>451</v>
      </c>
      <c r="H153" s="7" t="s">
        <v>450</v>
      </c>
      <c r="I153" s="32" t="b">
        <f aca="false">FALSE()</f>
        <v>0</v>
      </c>
      <c r="J153" s="32" t="b">
        <f aca="false">FALSE()</f>
        <v>0</v>
      </c>
      <c r="K153" s="32" t="b">
        <f aca="false">FALSE()</f>
        <v>0</v>
      </c>
      <c r="L153" s="7" t="s">
        <v>445</v>
      </c>
      <c r="M153" s="7" t="s">
        <v>452</v>
      </c>
      <c r="N153" s="7" t="s">
        <v>453</v>
      </c>
      <c r="O153" s="7"/>
      <c r="P153" s="7"/>
      <c r="Q153" s="7"/>
      <c r="R153" s="7"/>
    </row>
    <row r="154" customFormat="false" ht="15" hidden="false" customHeight="false" outlineLevel="0" collapsed="false">
      <c r="A154" s="7" t="s">
        <v>499</v>
      </c>
      <c r="B154" s="7" t="s">
        <v>64</v>
      </c>
      <c r="C154" s="7" t="n">
        <v>74167.2</v>
      </c>
      <c r="D154" s="7" t="n">
        <v>73646.2</v>
      </c>
      <c r="E154" s="7" t="n">
        <v>0.0070743636467326</v>
      </c>
      <c r="F154" s="7" t="s">
        <v>450</v>
      </c>
      <c r="G154" s="7" t="s">
        <v>451</v>
      </c>
      <c r="H154" s="7" t="s">
        <v>450</v>
      </c>
      <c r="I154" s="32" t="b">
        <f aca="false">FALSE()</f>
        <v>0</v>
      </c>
      <c r="J154" s="32" t="b">
        <f aca="false">FALSE()</f>
        <v>0</v>
      </c>
      <c r="K154" s="32" t="b">
        <f aca="false">FALSE()</f>
        <v>0</v>
      </c>
      <c r="L154" s="7" t="s">
        <v>445</v>
      </c>
      <c r="M154" s="7" t="s">
        <v>452</v>
      </c>
      <c r="N154" s="7" t="s">
        <v>453</v>
      </c>
      <c r="O154" s="7"/>
      <c r="P154" s="7"/>
      <c r="Q154" s="7"/>
      <c r="R154" s="7"/>
    </row>
    <row r="155" customFormat="false" ht="15" hidden="false" customHeight="false" outlineLevel="0" collapsed="false">
      <c r="A155" s="7" t="s">
        <v>500</v>
      </c>
      <c r="B155" s="7" t="s">
        <v>63</v>
      </c>
      <c r="C155" s="7" t="n">
        <v>73804.6</v>
      </c>
      <c r="D155" s="7" t="n">
        <v>73636.5</v>
      </c>
      <c r="E155" s="7" t="n">
        <v>0.0022828352787001</v>
      </c>
      <c r="F155" s="7" t="s">
        <v>450</v>
      </c>
      <c r="G155" s="7" t="s">
        <v>451</v>
      </c>
      <c r="H155" s="7" t="s">
        <v>450</v>
      </c>
      <c r="I155" s="32" t="b">
        <f aca="false">FALSE()</f>
        <v>0</v>
      </c>
      <c r="J155" s="32" t="b">
        <f aca="false">FALSE()</f>
        <v>0</v>
      </c>
      <c r="K155" s="32" t="b">
        <f aca="false">FALSE()</f>
        <v>0</v>
      </c>
      <c r="L155" s="7" t="s">
        <v>445</v>
      </c>
      <c r="M155" s="7" t="s">
        <v>452</v>
      </c>
      <c r="N155" s="7" t="s">
        <v>453</v>
      </c>
      <c r="O155" s="7"/>
      <c r="P155" s="7"/>
      <c r="Q155" s="7"/>
      <c r="R155" s="7"/>
    </row>
    <row r="156" customFormat="false" ht="15" hidden="false" customHeight="false" outlineLevel="0" collapsed="false">
      <c r="A156" s="7" t="s">
        <v>500</v>
      </c>
      <c r="B156" s="7" t="s">
        <v>64</v>
      </c>
      <c r="C156" s="7" t="n">
        <v>72547.5</v>
      </c>
      <c r="D156" s="7" t="n">
        <v>72188.8</v>
      </c>
      <c r="E156" s="7" t="n">
        <v>0.0049689148455161</v>
      </c>
      <c r="F156" s="7" t="s">
        <v>450</v>
      </c>
      <c r="G156" s="7" t="s">
        <v>451</v>
      </c>
      <c r="H156" s="7" t="s">
        <v>450</v>
      </c>
      <c r="I156" s="32" t="b">
        <f aca="false">FALSE()</f>
        <v>0</v>
      </c>
      <c r="J156" s="32" t="b">
        <f aca="false">FALSE()</f>
        <v>0</v>
      </c>
      <c r="K156" s="32" t="b">
        <f aca="false">FALSE()</f>
        <v>0</v>
      </c>
      <c r="L156" s="7" t="s">
        <v>445</v>
      </c>
      <c r="M156" s="7" t="s">
        <v>452</v>
      </c>
      <c r="N156" s="7" t="s">
        <v>453</v>
      </c>
      <c r="O156" s="7"/>
      <c r="P156" s="7"/>
      <c r="Q156" s="7"/>
      <c r="R156" s="7"/>
    </row>
    <row r="157" customFormat="false" ht="15" hidden="false" customHeight="false" outlineLevel="0" collapsed="false">
      <c r="A157" s="7" t="s">
        <v>266</v>
      </c>
      <c r="B157" s="7" t="s">
        <v>63</v>
      </c>
      <c r="C157" s="7" t="n">
        <v>70199.9</v>
      </c>
      <c r="D157" s="7" t="n">
        <v>69746.5</v>
      </c>
      <c r="E157" s="7" t="n">
        <v>0.0065006846221673</v>
      </c>
      <c r="F157" s="7" t="s">
        <v>60</v>
      </c>
      <c r="G157" s="7" t="s">
        <v>448</v>
      </c>
      <c r="H157" s="7" t="s">
        <v>67</v>
      </c>
      <c r="I157" s="32" t="b">
        <f aca="false">FALSE()</f>
        <v>0</v>
      </c>
      <c r="J157" s="32" t="b">
        <f aca="false">TRUE()</f>
        <v>1</v>
      </c>
      <c r="K157" s="32" t="b">
        <f aca="false">FALSE()</f>
        <v>0</v>
      </c>
      <c r="L157" s="7" t="s">
        <v>445</v>
      </c>
      <c r="M157" s="7" t="s">
        <v>446</v>
      </c>
      <c r="N157" s="7" t="s">
        <v>479</v>
      </c>
      <c r="O157" s="7" t="n">
        <v>70117.27</v>
      </c>
      <c r="P157" s="7" t="n">
        <v>70515.8</v>
      </c>
      <c r="Q157" s="7" t="n">
        <v>14.32</v>
      </c>
      <c r="R157" s="7" t="s">
        <v>69</v>
      </c>
    </row>
    <row r="158" customFormat="false" ht="15" hidden="false" customHeight="false" outlineLevel="0" collapsed="false">
      <c r="A158" s="7" t="s">
        <v>266</v>
      </c>
      <c r="B158" s="7" t="s">
        <v>64</v>
      </c>
      <c r="C158" s="7" t="n">
        <v>69797</v>
      </c>
      <c r="D158" s="7" t="n">
        <v>69209.3</v>
      </c>
      <c r="E158" s="7" t="n">
        <v>0.0084916333498532</v>
      </c>
      <c r="F158" s="7" t="s">
        <v>450</v>
      </c>
      <c r="G158" s="7" t="s">
        <v>451</v>
      </c>
      <c r="H158" s="7" t="s">
        <v>450</v>
      </c>
      <c r="I158" s="32" t="b">
        <f aca="false">FALSE()</f>
        <v>0</v>
      </c>
      <c r="J158" s="32" t="b">
        <f aca="false">FALSE()</f>
        <v>0</v>
      </c>
      <c r="K158" s="32" t="b">
        <f aca="false">FALSE()</f>
        <v>0</v>
      </c>
      <c r="L158" s="7" t="s">
        <v>445</v>
      </c>
      <c r="M158" s="7" t="s">
        <v>452</v>
      </c>
      <c r="N158" s="7" t="s">
        <v>453</v>
      </c>
      <c r="O158" s="7"/>
      <c r="P158" s="7"/>
      <c r="Q158" s="7"/>
      <c r="R158" s="7"/>
    </row>
    <row r="159" customFormat="false" ht="15" hidden="false" customHeight="false" outlineLevel="0" collapsed="false">
      <c r="A159" s="7" t="s">
        <v>267</v>
      </c>
      <c r="B159" s="7" t="s">
        <v>63</v>
      </c>
      <c r="C159" s="7" t="n">
        <v>70823</v>
      </c>
      <c r="D159" s="7" t="n">
        <v>70386.7</v>
      </c>
      <c r="E159" s="7" t="n">
        <v>0.0061986142268355</v>
      </c>
      <c r="F159" s="7" t="s">
        <v>60</v>
      </c>
      <c r="G159" s="7" t="s">
        <v>448</v>
      </c>
      <c r="H159" s="7" t="s">
        <v>67</v>
      </c>
      <c r="I159" s="32" t="b">
        <f aca="false">FALSE()</f>
        <v>0</v>
      </c>
      <c r="J159" s="32" t="b">
        <f aca="false">TRUE()</f>
        <v>1</v>
      </c>
      <c r="K159" s="32" t="b">
        <f aca="false">FALSE()</f>
        <v>0</v>
      </c>
      <c r="L159" s="7" t="s">
        <v>445</v>
      </c>
      <c r="M159" s="7" t="s">
        <v>446</v>
      </c>
      <c r="N159" s="7" t="s">
        <v>449</v>
      </c>
      <c r="O159" s="7" t="n">
        <v>70797.84</v>
      </c>
      <c r="P159" s="7" t="n">
        <v>71141.7</v>
      </c>
      <c r="Q159" s="7" t="n">
        <v>-116.59</v>
      </c>
      <c r="R159" s="7" t="s">
        <v>70</v>
      </c>
    </row>
    <row r="160" customFormat="false" ht="15" hidden="false" customHeight="false" outlineLevel="0" collapsed="false">
      <c r="A160" s="7" t="s">
        <v>267</v>
      </c>
      <c r="B160" s="7" t="s">
        <v>64</v>
      </c>
      <c r="C160" s="7" t="n">
        <v>70480</v>
      </c>
      <c r="D160" s="7" t="n">
        <v>69808</v>
      </c>
      <c r="E160" s="7" t="n">
        <v>0.0096264038505615</v>
      </c>
      <c r="F160" s="7" t="s">
        <v>450</v>
      </c>
      <c r="G160" s="7" t="s">
        <v>451</v>
      </c>
      <c r="H160" s="7" t="s">
        <v>450</v>
      </c>
      <c r="I160" s="32" t="b">
        <f aca="false">FALSE()</f>
        <v>0</v>
      </c>
      <c r="J160" s="32" t="b">
        <f aca="false">FALSE()</f>
        <v>0</v>
      </c>
      <c r="K160" s="32" t="b">
        <f aca="false">FALSE()</f>
        <v>0</v>
      </c>
      <c r="L160" s="7" t="s">
        <v>445</v>
      </c>
      <c r="M160" s="7" t="s">
        <v>452</v>
      </c>
      <c r="N160" s="7" t="s">
        <v>453</v>
      </c>
      <c r="O160" s="7"/>
      <c r="P160" s="7"/>
      <c r="Q160" s="7"/>
      <c r="R160" s="7"/>
    </row>
    <row r="161" customFormat="false" ht="15" hidden="false" customHeight="false" outlineLevel="0" collapsed="false">
      <c r="A161" s="7" t="s">
        <v>268</v>
      </c>
      <c r="B161" s="7" t="s">
        <v>63</v>
      </c>
      <c r="C161" s="7" t="n">
        <v>70840.9</v>
      </c>
      <c r="D161" s="7" t="n">
        <v>70717.1</v>
      </c>
      <c r="E161" s="7" t="n">
        <v>0.001750637398875</v>
      </c>
      <c r="F161" s="7" t="s">
        <v>59</v>
      </c>
      <c r="G161" s="7" t="s">
        <v>444</v>
      </c>
      <c r="H161" s="7" t="s">
        <v>67</v>
      </c>
      <c r="I161" s="32" t="b">
        <f aca="false">TRUE()</f>
        <v>1</v>
      </c>
      <c r="J161" s="32" t="b">
        <f aca="false">FALSE()</f>
        <v>0</v>
      </c>
      <c r="K161" s="32" t="b">
        <f aca="false">FALSE()</f>
        <v>0</v>
      </c>
      <c r="L161" s="7" t="s">
        <v>445</v>
      </c>
      <c r="M161" s="7" t="s">
        <v>446</v>
      </c>
      <c r="N161" s="7" t="s">
        <v>501</v>
      </c>
      <c r="O161" s="7" t="n">
        <v>70673.26</v>
      </c>
      <c r="P161" s="7" t="n">
        <v>70823.18</v>
      </c>
      <c r="Q161" s="7" t="n">
        <v>17.52</v>
      </c>
      <c r="R161" s="7" t="s">
        <v>69</v>
      </c>
    </row>
    <row r="162" customFormat="false" ht="15" hidden="false" customHeight="false" outlineLevel="0" collapsed="false">
      <c r="A162" s="7" t="s">
        <v>268</v>
      </c>
      <c r="B162" s="7" t="s">
        <v>64</v>
      </c>
      <c r="C162" s="7" t="n">
        <v>70761.6</v>
      </c>
      <c r="D162" s="7" t="n">
        <v>70682.1</v>
      </c>
      <c r="E162" s="7" t="n">
        <v>0.0011247543578925</v>
      </c>
      <c r="F162" s="7" t="s">
        <v>60</v>
      </c>
      <c r="G162" s="7" t="s">
        <v>448</v>
      </c>
      <c r="H162" s="7" t="s">
        <v>67</v>
      </c>
      <c r="I162" s="32" t="b">
        <f aca="false">FALSE()</f>
        <v>0</v>
      </c>
      <c r="J162" s="32" t="b">
        <f aca="false">TRUE()</f>
        <v>1</v>
      </c>
      <c r="K162" s="32" t="b">
        <f aca="false">FALSE()</f>
        <v>0</v>
      </c>
      <c r="L162" s="7" t="s">
        <v>445</v>
      </c>
      <c r="M162" s="7" t="s">
        <v>446</v>
      </c>
      <c r="N162" s="7" t="s">
        <v>469</v>
      </c>
      <c r="O162" s="7" t="n">
        <v>70686.16</v>
      </c>
      <c r="P162" s="7" t="n">
        <v>71080.03</v>
      </c>
      <c r="Q162" s="7" t="n">
        <v>14.73</v>
      </c>
      <c r="R162" s="7" t="s">
        <v>69</v>
      </c>
    </row>
    <row r="163" customFormat="false" ht="15" hidden="false" customHeight="false" outlineLevel="0" collapsed="false">
      <c r="A163" s="7" t="s">
        <v>269</v>
      </c>
      <c r="B163" s="7" t="s">
        <v>63</v>
      </c>
      <c r="C163" s="7" t="n">
        <v>69146.4</v>
      </c>
      <c r="D163" s="7" t="n">
        <v>68872.3</v>
      </c>
      <c r="E163" s="7" t="n">
        <v>0.0039798293363223</v>
      </c>
      <c r="F163" s="7" t="s">
        <v>60</v>
      </c>
      <c r="G163" s="7" t="s">
        <v>459</v>
      </c>
      <c r="H163" s="7" t="s">
        <v>66</v>
      </c>
      <c r="I163" s="32" t="b">
        <f aca="false">FALSE()</f>
        <v>0</v>
      </c>
      <c r="J163" s="32" t="b">
        <f aca="false">TRUE()</f>
        <v>1</v>
      </c>
      <c r="K163" s="32" t="b">
        <f aca="false">FALSE()</f>
        <v>0</v>
      </c>
      <c r="L163" s="7" t="s">
        <v>445</v>
      </c>
      <c r="M163" s="7" t="s">
        <v>446</v>
      </c>
      <c r="N163" s="7" t="s">
        <v>483</v>
      </c>
      <c r="O163" s="7" t="n">
        <v>68963.69</v>
      </c>
      <c r="P163" s="7" t="n">
        <v>68562.37</v>
      </c>
      <c r="Q163" s="7" t="n">
        <v>-87.37</v>
      </c>
      <c r="R163" s="7" t="s">
        <v>70</v>
      </c>
    </row>
    <row r="164" customFormat="false" ht="15" hidden="false" customHeight="false" outlineLevel="0" collapsed="false">
      <c r="A164" s="7" t="s">
        <v>269</v>
      </c>
      <c r="B164" s="7" t="s">
        <v>64</v>
      </c>
      <c r="C164" s="7" t="n">
        <v>68814.6</v>
      </c>
      <c r="D164" s="7" t="n">
        <v>68500.9</v>
      </c>
      <c r="E164" s="7" t="n">
        <v>0.004579501875158</v>
      </c>
      <c r="F164" s="7" t="s">
        <v>60</v>
      </c>
      <c r="G164" s="7" t="s">
        <v>448</v>
      </c>
      <c r="H164" s="7" t="s">
        <v>67</v>
      </c>
      <c r="I164" s="32" t="b">
        <f aca="false">FALSE()</f>
        <v>0</v>
      </c>
      <c r="J164" s="32" t="b">
        <f aca="false">TRUE()</f>
        <v>1</v>
      </c>
      <c r="K164" s="32" t="b">
        <f aca="false">FALSE()</f>
        <v>0</v>
      </c>
      <c r="L164" s="7" t="s">
        <v>445</v>
      </c>
      <c r="M164" s="7" t="s">
        <v>446</v>
      </c>
      <c r="N164" s="7" t="s">
        <v>502</v>
      </c>
      <c r="O164" s="7" t="n">
        <v>68786.84</v>
      </c>
      <c r="P164" s="7" t="n">
        <v>69124.27</v>
      </c>
      <c r="Q164" s="7" t="n">
        <v>7.67</v>
      </c>
      <c r="R164" s="7" t="s">
        <v>69</v>
      </c>
    </row>
    <row r="165" customFormat="false" ht="15" hidden="false" customHeight="false" outlineLevel="0" collapsed="false">
      <c r="A165" s="7" t="s">
        <v>270</v>
      </c>
      <c r="B165" s="7" t="s">
        <v>63</v>
      </c>
      <c r="C165" s="7" t="n">
        <v>68307.7</v>
      </c>
      <c r="D165" s="7" t="n">
        <v>67739.3</v>
      </c>
      <c r="E165" s="7" t="n">
        <v>0.0083909931162559</v>
      </c>
      <c r="F165" s="7" t="s">
        <v>60</v>
      </c>
      <c r="G165" s="7" t="s">
        <v>448</v>
      </c>
      <c r="H165" s="7" t="s">
        <v>67</v>
      </c>
      <c r="I165" s="32" t="b">
        <f aca="false">FALSE()</f>
        <v>0</v>
      </c>
      <c r="J165" s="32" t="b">
        <f aca="false">TRUE()</f>
        <v>1</v>
      </c>
      <c r="K165" s="32" t="b">
        <f aca="false">FALSE()</f>
        <v>0</v>
      </c>
      <c r="L165" s="7" t="s">
        <v>445</v>
      </c>
      <c r="M165" s="7" t="s">
        <v>446</v>
      </c>
      <c r="N165" s="7" t="s">
        <v>449</v>
      </c>
      <c r="O165" s="7" t="n">
        <v>68292.24</v>
      </c>
      <c r="P165" s="7" t="n">
        <v>68615.08</v>
      </c>
      <c r="Q165" s="7" t="n">
        <v>-110.13</v>
      </c>
      <c r="R165" s="7" t="s">
        <v>70</v>
      </c>
    </row>
    <row r="166" customFormat="false" ht="15" hidden="false" customHeight="false" outlineLevel="0" collapsed="false">
      <c r="A166" s="7" t="s">
        <v>270</v>
      </c>
      <c r="B166" s="7" t="s">
        <v>64</v>
      </c>
      <c r="C166" s="7" t="n">
        <v>71388</v>
      </c>
      <c r="D166" s="7" t="n">
        <v>70620</v>
      </c>
      <c r="E166" s="7" t="n">
        <v>0.010875106202209</v>
      </c>
      <c r="F166" s="7" t="s">
        <v>450</v>
      </c>
      <c r="G166" s="7" t="s">
        <v>451</v>
      </c>
      <c r="H166" s="7" t="s">
        <v>450</v>
      </c>
      <c r="I166" s="32" t="b">
        <f aca="false">FALSE()</f>
        <v>0</v>
      </c>
      <c r="J166" s="32" t="b">
        <f aca="false">FALSE()</f>
        <v>0</v>
      </c>
      <c r="K166" s="32" t="b">
        <f aca="false">FALSE()</f>
        <v>0</v>
      </c>
      <c r="L166" s="7" t="s">
        <v>445</v>
      </c>
      <c r="M166" s="7" t="s">
        <v>452</v>
      </c>
      <c r="N166" s="7" t="s">
        <v>453</v>
      </c>
      <c r="O166" s="7"/>
      <c r="P166" s="7"/>
      <c r="Q166" s="7"/>
      <c r="R166" s="7"/>
    </row>
    <row r="167" customFormat="false" ht="15" hidden="false" customHeight="false" outlineLevel="0" collapsed="false">
      <c r="A167" s="7" t="s">
        <v>271</v>
      </c>
      <c r="B167" s="7" t="s">
        <v>63</v>
      </c>
      <c r="C167" s="7" t="n">
        <v>70930.8</v>
      </c>
      <c r="D167" s="7" t="n">
        <v>70781.5</v>
      </c>
      <c r="E167" s="7" t="n">
        <v>0.0021093082231939</v>
      </c>
      <c r="F167" s="7" t="s">
        <v>59</v>
      </c>
      <c r="G167" s="7" t="s">
        <v>444</v>
      </c>
      <c r="H167" s="7" t="s">
        <v>66</v>
      </c>
      <c r="I167" s="32" t="b">
        <f aca="false">TRUE()</f>
        <v>1</v>
      </c>
      <c r="J167" s="32" t="b">
        <f aca="false">FALSE()</f>
        <v>0</v>
      </c>
      <c r="K167" s="32" t="b">
        <f aca="false">FALSE()</f>
        <v>0</v>
      </c>
      <c r="L167" s="7" t="s">
        <v>445</v>
      </c>
      <c r="M167" s="7" t="s">
        <v>446</v>
      </c>
      <c r="N167" s="7" t="s">
        <v>503</v>
      </c>
      <c r="O167" s="7" t="n">
        <v>71269.45</v>
      </c>
      <c r="P167" s="7" t="n">
        <v>70824.4</v>
      </c>
      <c r="Q167" s="7" t="n">
        <v>-95.66</v>
      </c>
      <c r="R167" s="7" t="s">
        <v>70</v>
      </c>
    </row>
    <row r="168" customFormat="false" ht="15" hidden="false" customHeight="false" outlineLevel="0" collapsed="false">
      <c r="A168" s="7" t="s">
        <v>271</v>
      </c>
      <c r="B168" s="7" t="s">
        <v>64</v>
      </c>
      <c r="C168" s="7" t="n">
        <v>70752.8</v>
      </c>
      <c r="D168" s="7" t="n">
        <v>70192.4</v>
      </c>
      <c r="E168" s="7" t="n">
        <v>0.0079837703227131</v>
      </c>
      <c r="F168" s="7" t="s">
        <v>450</v>
      </c>
      <c r="G168" s="7" t="s">
        <v>451</v>
      </c>
      <c r="H168" s="7" t="s">
        <v>450</v>
      </c>
      <c r="I168" s="32" t="b">
        <f aca="false">FALSE()</f>
        <v>0</v>
      </c>
      <c r="J168" s="32" t="b">
        <f aca="false">FALSE()</f>
        <v>0</v>
      </c>
      <c r="K168" s="32" t="b">
        <f aca="false">FALSE()</f>
        <v>0</v>
      </c>
      <c r="L168" s="7" t="s">
        <v>445</v>
      </c>
      <c r="M168" s="7" t="s">
        <v>452</v>
      </c>
      <c r="N168" s="7" t="s">
        <v>453</v>
      </c>
      <c r="O168" s="7"/>
      <c r="P168" s="7"/>
      <c r="Q168" s="7"/>
      <c r="R168" s="7"/>
    </row>
    <row r="169" customFormat="false" ht="15" hidden="false" customHeight="false" outlineLevel="0" collapsed="false">
      <c r="A169" s="7" t="s">
        <v>504</v>
      </c>
      <c r="B169" s="7" t="s">
        <v>63</v>
      </c>
      <c r="C169" s="7" t="n">
        <v>71233.6</v>
      </c>
      <c r="D169" s="7" t="n">
        <v>71000</v>
      </c>
      <c r="E169" s="7" t="n">
        <v>0.0032901408450705</v>
      </c>
      <c r="F169" s="7" t="s">
        <v>450</v>
      </c>
      <c r="G169" s="7" t="s">
        <v>451</v>
      </c>
      <c r="H169" s="7" t="s">
        <v>450</v>
      </c>
      <c r="I169" s="32" t="b">
        <f aca="false">FALSE()</f>
        <v>0</v>
      </c>
      <c r="J169" s="32" t="b">
        <f aca="false">FALSE()</f>
        <v>0</v>
      </c>
      <c r="K169" s="32" t="b">
        <f aca="false">FALSE()</f>
        <v>0</v>
      </c>
      <c r="L169" s="7" t="s">
        <v>445</v>
      </c>
      <c r="M169" s="7" t="s">
        <v>452</v>
      </c>
      <c r="N169" s="7" t="s">
        <v>453</v>
      </c>
      <c r="O169" s="7"/>
      <c r="P169" s="7"/>
      <c r="Q169" s="7"/>
      <c r="R169" s="7"/>
    </row>
    <row r="170" customFormat="false" ht="15" hidden="false" customHeight="false" outlineLevel="0" collapsed="false">
      <c r="A170" s="7" t="s">
        <v>504</v>
      </c>
      <c r="B170" s="7" t="s">
        <v>64</v>
      </c>
      <c r="C170" s="7" t="n">
        <v>71931.9</v>
      </c>
      <c r="D170" s="7" t="n">
        <v>71587.2</v>
      </c>
      <c r="E170" s="7" t="n">
        <v>0.0048151066112377</v>
      </c>
      <c r="F170" s="7" t="s">
        <v>450</v>
      </c>
      <c r="G170" s="7" t="s">
        <v>451</v>
      </c>
      <c r="H170" s="7" t="s">
        <v>450</v>
      </c>
      <c r="I170" s="32" t="b">
        <f aca="false">FALSE()</f>
        <v>0</v>
      </c>
      <c r="J170" s="32" t="b">
        <f aca="false">FALSE()</f>
        <v>0</v>
      </c>
      <c r="K170" s="32" t="b">
        <f aca="false">FALSE()</f>
        <v>0</v>
      </c>
      <c r="L170" s="7" t="s">
        <v>445</v>
      </c>
      <c r="M170" s="7" t="s">
        <v>452</v>
      </c>
      <c r="N170" s="7" t="s">
        <v>453</v>
      </c>
      <c r="O170" s="7"/>
      <c r="P170" s="7"/>
      <c r="Q170" s="7"/>
      <c r="R170" s="7"/>
    </row>
    <row r="171" customFormat="false" ht="15" hidden="false" customHeight="false" outlineLevel="0" collapsed="false">
      <c r="A171" s="7" t="s">
        <v>272</v>
      </c>
      <c r="B171" s="7" t="s">
        <v>63</v>
      </c>
      <c r="C171" s="7" t="n">
        <v>70079.1</v>
      </c>
      <c r="D171" s="7" t="n">
        <v>69722.6</v>
      </c>
      <c r="E171" s="7" t="n">
        <v>0.0051131197058055</v>
      </c>
      <c r="F171" s="7" t="s">
        <v>60</v>
      </c>
      <c r="G171" s="7" t="s">
        <v>448</v>
      </c>
      <c r="H171" s="7" t="s">
        <v>67</v>
      </c>
      <c r="I171" s="32" t="b">
        <f aca="false">FALSE()</f>
        <v>0</v>
      </c>
      <c r="J171" s="32" t="b">
        <f aca="false">TRUE()</f>
        <v>1</v>
      </c>
      <c r="K171" s="32" t="b">
        <f aca="false">FALSE()</f>
        <v>0</v>
      </c>
      <c r="L171" s="7" t="s">
        <v>445</v>
      </c>
      <c r="M171" s="7" t="s">
        <v>446</v>
      </c>
      <c r="N171" s="7" t="s">
        <v>469</v>
      </c>
      <c r="O171" s="7" t="n">
        <v>70039.79</v>
      </c>
      <c r="P171" s="7" t="n">
        <v>70394.46</v>
      </c>
      <c r="Q171" s="7" t="n">
        <v>6.8</v>
      </c>
      <c r="R171" s="7" t="s">
        <v>69</v>
      </c>
    </row>
    <row r="172" customFormat="false" ht="15" hidden="false" customHeight="false" outlineLevel="0" collapsed="false">
      <c r="A172" s="7" t="s">
        <v>272</v>
      </c>
      <c r="B172" s="7" t="s">
        <v>64</v>
      </c>
      <c r="C172" s="7" t="n">
        <v>69519</v>
      </c>
      <c r="D172" s="7" t="n">
        <v>69158.9</v>
      </c>
      <c r="E172" s="7" t="n">
        <v>0.0052068497330062</v>
      </c>
      <c r="F172" s="7" t="s">
        <v>59</v>
      </c>
      <c r="G172" s="7" t="s">
        <v>444</v>
      </c>
      <c r="H172" s="7" t="s">
        <v>66</v>
      </c>
      <c r="I172" s="32" t="b">
        <f aca="false">TRUE()</f>
        <v>1</v>
      </c>
      <c r="J172" s="32" t="b">
        <f aca="false">FALSE()</f>
        <v>0</v>
      </c>
      <c r="K172" s="32" t="b">
        <f aca="false">FALSE()</f>
        <v>0</v>
      </c>
      <c r="L172" s="7" t="s">
        <v>445</v>
      </c>
      <c r="M172" s="7" t="s">
        <v>446</v>
      </c>
      <c r="N172" s="7" t="s">
        <v>505</v>
      </c>
      <c r="O172" s="7" t="n">
        <v>69629.72</v>
      </c>
      <c r="P172" s="7" t="n">
        <v>69414.72</v>
      </c>
      <c r="Q172" s="7" t="n">
        <v>7.39</v>
      </c>
      <c r="R172" s="7" t="s">
        <v>69</v>
      </c>
    </row>
    <row r="173" customFormat="false" ht="15" hidden="false" customHeight="false" outlineLevel="0" collapsed="false">
      <c r="A173" s="7" t="s">
        <v>506</v>
      </c>
      <c r="B173" s="7" t="s">
        <v>63</v>
      </c>
      <c r="C173" s="7" t="n">
        <v>68918</v>
      </c>
      <c r="D173" s="7" t="n">
        <v>68482.8</v>
      </c>
      <c r="E173" s="7" t="n">
        <v>0.0063548803495183</v>
      </c>
      <c r="F173" s="7" t="s">
        <v>450</v>
      </c>
      <c r="G173" s="7" t="s">
        <v>451</v>
      </c>
      <c r="H173" s="7" t="s">
        <v>450</v>
      </c>
      <c r="I173" s="32" t="b">
        <f aca="false">FALSE()</f>
        <v>0</v>
      </c>
      <c r="J173" s="32" t="b">
        <f aca="false">FALSE()</f>
        <v>0</v>
      </c>
      <c r="K173" s="32" t="b">
        <f aca="false">FALSE()</f>
        <v>0</v>
      </c>
      <c r="L173" s="7" t="s">
        <v>445</v>
      </c>
      <c r="M173" s="7" t="s">
        <v>452</v>
      </c>
      <c r="N173" s="7" t="s">
        <v>453</v>
      </c>
      <c r="O173" s="7"/>
      <c r="P173" s="7"/>
      <c r="Q173" s="7"/>
      <c r="R173" s="7"/>
    </row>
    <row r="174" customFormat="false" ht="15" hidden="false" customHeight="false" outlineLevel="0" collapsed="false">
      <c r="A174" s="7" t="s">
        <v>506</v>
      </c>
      <c r="B174" s="7" t="s">
        <v>64</v>
      </c>
      <c r="C174" s="7" t="n">
        <v>66693.5</v>
      </c>
      <c r="D174" s="7" t="n">
        <v>66025.4</v>
      </c>
      <c r="E174" s="7" t="n">
        <v>0.0101188330551576</v>
      </c>
      <c r="F174" s="7" t="s">
        <v>450</v>
      </c>
      <c r="G174" s="7" t="s">
        <v>451</v>
      </c>
      <c r="H174" s="7" t="s">
        <v>450</v>
      </c>
      <c r="I174" s="32" t="b">
        <f aca="false">FALSE()</f>
        <v>0</v>
      </c>
      <c r="J174" s="32" t="b">
        <f aca="false">FALSE()</f>
        <v>0</v>
      </c>
      <c r="K174" s="32" t="b">
        <f aca="false">FALSE()</f>
        <v>0</v>
      </c>
      <c r="L174" s="7" t="s">
        <v>445</v>
      </c>
      <c r="M174" s="7" t="s">
        <v>452</v>
      </c>
      <c r="N174" s="7" t="s">
        <v>453</v>
      </c>
      <c r="O174" s="7"/>
      <c r="P174" s="7"/>
      <c r="Q174" s="7"/>
      <c r="R174" s="7"/>
    </row>
    <row r="175" customFormat="false" ht="15" hidden="false" customHeight="false" outlineLevel="0" collapsed="false">
      <c r="A175" s="7" t="s">
        <v>273</v>
      </c>
      <c r="B175" s="7" t="s">
        <v>63</v>
      </c>
      <c r="C175" s="7" t="n">
        <v>66431.4</v>
      </c>
      <c r="D175" s="7" t="n">
        <v>66391.7</v>
      </c>
      <c r="E175" s="7" t="n">
        <v>0.000597966312054</v>
      </c>
      <c r="F175" s="7" t="s">
        <v>59</v>
      </c>
      <c r="G175" s="7" t="s">
        <v>444</v>
      </c>
      <c r="H175" s="7" t="s">
        <v>66</v>
      </c>
      <c r="I175" s="32" t="b">
        <f aca="false">TRUE()</f>
        <v>1</v>
      </c>
      <c r="J175" s="32" t="b">
        <f aca="false">FALSE()</f>
        <v>0</v>
      </c>
      <c r="K175" s="32" t="b">
        <f aca="false">FALSE()</f>
        <v>0</v>
      </c>
      <c r="L175" s="7" t="s">
        <v>445</v>
      </c>
      <c r="M175" s="7" t="s">
        <v>446</v>
      </c>
      <c r="N175" s="7" t="s">
        <v>507</v>
      </c>
      <c r="O175" s="7" t="n">
        <v>66534.2</v>
      </c>
      <c r="P175" s="7" t="n">
        <v>66331.75</v>
      </c>
      <c r="Q175" s="7" t="n">
        <v>-129.83</v>
      </c>
      <c r="R175" s="7" t="s">
        <v>70</v>
      </c>
    </row>
    <row r="176" customFormat="false" ht="15" hidden="false" customHeight="false" outlineLevel="0" collapsed="false">
      <c r="A176" s="7" t="s">
        <v>273</v>
      </c>
      <c r="B176" s="7" t="s">
        <v>64</v>
      </c>
      <c r="C176" s="7" t="n">
        <v>67148.7</v>
      </c>
      <c r="D176" s="7" t="n">
        <v>66419.5</v>
      </c>
      <c r="E176" s="7" t="n">
        <v>0.010978703543387</v>
      </c>
      <c r="F176" s="7" t="s">
        <v>450</v>
      </c>
      <c r="G176" s="7" t="s">
        <v>451</v>
      </c>
      <c r="H176" s="7" t="s">
        <v>450</v>
      </c>
      <c r="I176" s="32" t="b">
        <f aca="false">FALSE()</f>
        <v>0</v>
      </c>
      <c r="J176" s="32" t="b">
        <f aca="false">FALSE()</f>
        <v>0</v>
      </c>
      <c r="K176" s="32" t="b">
        <f aca="false">FALSE()</f>
        <v>0</v>
      </c>
      <c r="L176" s="7" t="s">
        <v>445</v>
      </c>
      <c r="M176" s="7" t="s">
        <v>452</v>
      </c>
      <c r="N176" s="7" t="s">
        <v>453</v>
      </c>
      <c r="O176" s="7"/>
      <c r="P176" s="7"/>
      <c r="Q176" s="7"/>
      <c r="R176" s="7"/>
    </row>
    <row r="177" customFormat="false" ht="15" hidden="false" customHeight="false" outlineLevel="0" collapsed="false">
      <c r="A177" s="7" t="s">
        <v>274</v>
      </c>
      <c r="B177" s="7" t="s">
        <v>63</v>
      </c>
      <c r="C177" s="7" t="n">
        <v>66685.1</v>
      </c>
      <c r="D177" s="7" t="n">
        <v>66583.2</v>
      </c>
      <c r="E177" s="7" t="n">
        <v>0.0015304160809334</v>
      </c>
      <c r="F177" s="7" t="s">
        <v>60</v>
      </c>
      <c r="G177" s="7" t="s">
        <v>448</v>
      </c>
      <c r="H177" s="7" t="s">
        <v>67</v>
      </c>
      <c r="I177" s="32" t="b">
        <f aca="false">FALSE()</f>
        <v>0</v>
      </c>
      <c r="J177" s="32" t="b">
        <f aca="false">TRUE()</f>
        <v>1</v>
      </c>
      <c r="K177" s="32" t="b">
        <f aca="false">FALSE()</f>
        <v>0</v>
      </c>
      <c r="L177" s="7" t="s">
        <v>445</v>
      </c>
      <c r="M177" s="7" t="s">
        <v>446</v>
      </c>
      <c r="N177" s="7" t="s">
        <v>469</v>
      </c>
      <c r="O177" s="7" t="n">
        <v>66619.07</v>
      </c>
      <c r="P177" s="7" t="n">
        <v>66985.18</v>
      </c>
      <c r="Q177" s="7" t="n">
        <v>13.59</v>
      </c>
      <c r="R177" s="7" t="s">
        <v>69</v>
      </c>
    </row>
    <row r="178" customFormat="false" ht="15" hidden="false" customHeight="false" outlineLevel="0" collapsed="false">
      <c r="A178" s="7" t="s">
        <v>274</v>
      </c>
      <c r="B178" s="7" t="s">
        <v>64</v>
      </c>
      <c r="C178" s="7" t="n">
        <v>66658.1</v>
      </c>
      <c r="D178" s="7" t="n">
        <v>66571.8</v>
      </c>
      <c r="E178" s="7" t="n">
        <v>0.001296344698506</v>
      </c>
      <c r="F178" s="7" t="s">
        <v>450</v>
      </c>
      <c r="G178" s="7" t="s">
        <v>451</v>
      </c>
      <c r="H178" s="7" t="s">
        <v>450</v>
      </c>
      <c r="I178" s="32" t="b">
        <f aca="false">FALSE()</f>
        <v>0</v>
      </c>
      <c r="J178" s="32" t="b">
        <f aca="false">FALSE()</f>
        <v>0</v>
      </c>
      <c r="K178" s="32" t="b">
        <f aca="false">FALSE()</f>
        <v>0</v>
      </c>
      <c r="L178" s="7" t="s">
        <v>445</v>
      </c>
      <c r="M178" s="7" t="s">
        <v>452</v>
      </c>
      <c r="N178" s="7" t="s">
        <v>453</v>
      </c>
      <c r="O178" s="7"/>
      <c r="P178" s="7"/>
      <c r="Q178" s="7"/>
      <c r="R178" s="7"/>
    </row>
    <row r="179" customFormat="false" ht="15" hidden="false" customHeight="false" outlineLevel="0" collapsed="false">
      <c r="A179" s="7" t="s">
        <v>275</v>
      </c>
      <c r="B179" s="7" t="s">
        <v>63</v>
      </c>
      <c r="C179" s="7" t="n">
        <v>67399.9</v>
      </c>
      <c r="D179" s="7" t="n">
        <v>67255</v>
      </c>
      <c r="E179" s="7" t="n">
        <v>0.0021544866552671</v>
      </c>
      <c r="F179" s="7" t="s">
        <v>59</v>
      </c>
      <c r="G179" s="7" t="s">
        <v>444</v>
      </c>
      <c r="H179" s="7" t="s">
        <v>66</v>
      </c>
      <c r="I179" s="32" t="b">
        <f aca="false">TRUE()</f>
        <v>1</v>
      </c>
      <c r="J179" s="32" t="b">
        <f aca="false">FALSE()</f>
        <v>0</v>
      </c>
      <c r="K179" s="32" t="b">
        <f aca="false">FALSE()</f>
        <v>0</v>
      </c>
      <c r="L179" s="7" t="s">
        <v>445</v>
      </c>
      <c r="M179" s="7" t="s">
        <v>446</v>
      </c>
      <c r="N179" s="7" t="s">
        <v>495</v>
      </c>
      <c r="O179" s="7" t="n">
        <v>67609.42</v>
      </c>
      <c r="P179" s="7" t="n">
        <v>67298.8</v>
      </c>
      <c r="Q179" s="7" t="n">
        <v>24.44</v>
      </c>
      <c r="R179" s="7" t="s">
        <v>69</v>
      </c>
    </row>
    <row r="180" customFormat="false" ht="15" hidden="false" customHeight="false" outlineLevel="0" collapsed="false">
      <c r="A180" s="7" t="s">
        <v>275</v>
      </c>
      <c r="B180" s="7" t="s">
        <v>64</v>
      </c>
      <c r="C180" s="7" t="n">
        <v>68008.5</v>
      </c>
      <c r="D180" s="7" t="n">
        <v>67660.4</v>
      </c>
      <c r="E180" s="7" t="n">
        <v>0.0051448114406655</v>
      </c>
      <c r="F180" s="7" t="s">
        <v>450</v>
      </c>
      <c r="G180" s="7" t="s">
        <v>451</v>
      </c>
      <c r="H180" s="7" t="s">
        <v>450</v>
      </c>
      <c r="I180" s="32" t="b">
        <f aca="false">FALSE()</f>
        <v>0</v>
      </c>
      <c r="J180" s="32" t="b">
        <f aca="false">FALSE()</f>
        <v>0</v>
      </c>
      <c r="K180" s="32" t="b">
        <f aca="false">FALSE()</f>
        <v>0</v>
      </c>
      <c r="L180" s="7" t="s">
        <v>445</v>
      </c>
      <c r="M180" s="7" t="s">
        <v>452</v>
      </c>
      <c r="N180" s="7" t="s">
        <v>453</v>
      </c>
      <c r="O180" s="7"/>
      <c r="P180" s="7"/>
      <c r="Q180" s="7"/>
      <c r="R180" s="7"/>
    </row>
    <row r="181" customFormat="false" ht="15" hidden="false" customHeight="false" outlineLevel="0" collapsed="false">
      <c r="A181" s="7" t="s">
        <v>276</v>
      </c>
      <c r="B181" s="7" t="s">
        <v>63</v>
      </c>
      <c r="C181" s="7" t="n">
        <v>67350</v>
      </c>
      <c r="D181" s="7" t="n">
        <v>67179.7</v>
      </c>
      <c r="E181" s="7" t="n">
        <v>0.0025349919693002</v>
      </c>
      <c r="F181" s="7" t="s">
        <v>60</v>
      </c>
      <c r="G181" s="7" t="s">
        <v>448</v>
      </c>
      <c r="H181" s="7" t="s">
        <v>67</v>
      </c>
      <c r="I181" s="32" t="b">
        <f aca="false">FALSE()</f>
        <v>0</v>
      </c>
      <c r="J181" s="32" t="b">
        <f aca="false">TRUE()</f>
        <v>1</v>
      </c>
      <c r="K181" s="32" t="b">
        <f aca="false">FALSE()</f>
        <v>0</v>
      </c>
      <c r="L181" s="7" t="s">
        <v>445</v>
      </c>
      <c r="M181" s="7" t="s">
        <v>446</v>
      </c>
      <c r="N181" s="7" t="s">
        <v>479</v>
      </c>
      <c r="O181" s="7" t="n">
        <v>67310.44</v>
      </c>
      <c r="P181" s="7" t="n">
        <v>67653.07</v>
      </c>
      <c r="Q181" s="7" t="n">
        <v>69.29</v>
      </c>
      <c r="R181" s="7" t="s">
        <v>69</v>
      </c>
    </row>
    <row r="182" customFormat="false" ht="15" hidden="false" customHeight="false" outlineLevel="0" collapsed="false">
      <c r="A182" s="7" t="s">
        <v>276</v>
      </c>
      <c r="B182" s="7" t="s">
        <v>64</v>
      </c>
      <c r="C182" s="7" t="n">
        <v>67166.5</v>
      </c>
      <c r="D182" s="7" t="n">
        <v>66691.9</v>
      </c>
      <c r="E182" s="7" t="n">
        <v>0.0071163064779981</v>
      </c>
      <c r="F182" s="7" t="s">
        <v>450</v>
      </c>
      <c r="G182" s="7" t="s">
        <v>451</v>
      </c>
      <c r="H182" s="7" t="s">
        <v>450</v>
      </c>
      <c r="I182" s="32" t="b">
        <f aca="false">FALSE()</f>
        <v>0</v>
      </c>
      <c r="J182" s="32" t="b">
        <f aca="false">FALSE()</f>
        <v>0</v>
      </c>
      <c r="K182" s="32" t="b">
        <f aca="false">FALSE()</f>
        <v>0</v>
      </c>
      <c r="L182" s="7" t="s">
        <v>445</v>
      </c>
      <c r="M182" s="7" t="s">
        <v>452</v>
      </c>
      <c r="N182" s="7" t="s">
        <v>453</v>
      </c>
      <c r="O182" s="7"/>
      <c r="P182" s="7"/>
      <c r="Q182" s="7"/>
      <c r="R182" s="7"/>
    </row>
    <row r="183" customFormat="false" ht="15" hidden="false" customHeight="false" outlineLevel="0" collapsed="false">
      <c r="A183" s="7" t="s">
        <v>277</v>
      </c>
      <c r="B183" s="7" t="s">
        <v>63</v>
      </c>
      <c r="C183" s="7" t="n">
        <v>68962.9</v>
      </c>
      <c r="D183" s="7" t="n">
        <v>68817.1</v>
      </c>
      <c r="E183" s="7" t="n">
        <v>0.002118659461093</v>
      </c>
      <c r="F183" s="7" t="s">
        <v>59</v>
      </c>
      <c r="G183" s="7" t="s">
        <v>444</v>
      </c>
      <c r="H183" s="7" t="s">
        <v>67</v>
      </c>
      <c r="I183" s="32" t="b">
        <f aca="false">TRUE()</f>
        <v>1</v>
      </c>
      <c r="J183" s="32" t="b">
        <f aca="false">FALSE()</f>
        <v>0</v>
      </c>
      <c r="K183" s="32" t="b">
        <f aca="false">FALSE()</f>
        <v>0</v>
      </c>
      <c r="L183" s="7" t="s">
        <v>445</v>
      </c>
      <c r="M183" s="7" t="s">
        <v>446</v>
      </c>
      <c r="N183" s="7" t="s">
        <v>508</v>
      </c>
      <c r="O183" s="7" t="n">
        <v>68638.17</v>
      </c>
      <c r="P183" s="7" t="n">
        <v>68920.33</v>
      </c>
      <c r="Q183" s="7" t="n">
        <v>7.02</v>
      </c>
      <c r="R183" s="7" t="s">
        <v>69</v>
      </c>
    </row>
    <row r="184" customFormat="false" ht="15" hidden="false" customHeight="false" outlineLevel="0" collapsed="false">
      <c r="A184" s="7" t="s">
        <v>277</v>
      </c>
      <c r="B184" s="7" t="s">
        <v>64</v>
      </c>
      <c r="C184" s="7" t="n">
        <v>68650</v>
      </c>
      <c r="D184" s="7" t="n">
        <v>67883.7</v>
      </c>
      <c r="E184" s="7" t="n">
        <v>0.0112884241725186</v>
      </c>
      <c r="F184" s="7" t="s">
        <v>60</v>
      </c>
      <c r="G184" s="7" t="s">
        <v>459</v>
      </c>
      <c r="H184" s="7" t="s">
        <v>66</v>
      </c>
      <c r="I184" s="32" t="b">
        <f aca="false">FALSE()</f>
        <v>0</v>
      </c>
      <c r="J184" s="32" t="b">
        <f aca="false">TRUE()</f>
        <v>1</v>
      </c>
      <c r="K184" s="32" t="b">
        <f aca="false">FALSE()</f>
        <v>0</v>
      </c>
      <c r="L184" s="7" t="s">
        <v>445</v>
      </c>
      <c r="M184" s="7" t="s">
        <v>446</v>
      </c>
      <c r="N184" s="7" t="s">
        <v>467</v>
      </c>
      <c r="O184" s="7" t="n">
        <v>68105.02</v>
      </c>
      <c r="P184" s="7" t="n">
        <v>67578.22</v>
      </c>
      <c r="Q184" s="7" t="n">
        <v>28.6</v>
      </c>
      <c r="R184" s="7" t="s">
        <v>69</v>
      </c>
    </row>
    <row r="185" customFormat="false" ht="15" hidden="false" customHeight="false" outlineLevel="0" collapsed="false">
      <c r="A185" s="7" t="s">
        <v>509</v>
      </c>
      <c r="B185" s="7" t="s">
        <v>63</v>
      </c>
      <c r="C185" s="7" t="n">
        <v>66860</v>
      </c>
      <c r="D185" s="7" t="n">
        <v>66644.1</v>
      </c>
      <c r="E185" s="7" t="n">
        <v>0.0032395966034501</v>
      </c>
      <c r="F185" s="7" t="s">
        <v>450</v>
      </c>
      <c r="G185" s="7" t="s">
        <v>451</v>
      </c>
      <c r="H185" s="7" t="s">
        <v>450</v>
      </c>
      <c r="I185" s="32" t="b">
        <f aca="false">FALSE()</f>
        <v>0</v>
      </c>
      <c r="J185" s="32" t="b">
        <f aca="false">FALSE()</f>
        <v>0</v>
      </c>
      <c r="K185" s="32" t="b">
        <f aca="false">FALSE()</f>
        <v>0</v>
      </c>
      <c r="L185" s="7" t="s">
        <v>445</v>
      </c>
      <c r="M185" s="7" t="s">
        <v>452</v>
      </c>
      <c r="N185" s="7" t="s">
        <v>453</v>
      </c>
      <c r="O185" s="7"/>
      <c r="P185" s="7"/>
      <c r="Q185" s="7"/>
      <c r="R185" s="7"/>
    </row>
    <row r="186" customFormat="false" ht="15" hidden="false" customHeight="false" outlineLevel="0" collapsed="false">
      <c r="A186" s="7" t="s">
        <v>509</v>
      </c>
      <c r="B186" s="7" t="s">
        <v>64</v>
      </c>
      <c r="C186" s="7" t="n">
        <v>66209.8</v>
      </c>
      <c r="D186" s="7" t="n">
        <v>65676.1</v>
      </c>
      <c r="E186" s="7" t="n">
        <v>0.0081262437934042</v>
      </c>
      <c r="F186" s="7" t="s">
        <v>450</v>
      </c>
      <c r="G186" s="7" t="s">
        <v>451</v>
      </c>
      <c r="H186" s="7" t="s">
        <v>450</v>
      </c>
      <c r="I186" s="32" t="b">
        <f aca="false">FALSE()</f>
        <v>0</v>
      </c>
      <c r="J186" s="32" t="b">
        <f aca="false">FALSE()</f>
        <v>0</v>
      </c>
      <c r="K186" s="32" t="b">
        <f aca="false">FALSE()</f>
        <v>0</v>
      </c>
      <c r="L186" s="7" t="s">
        <v>445</v>
      </c>
      <c r="M186" s="7" t="s">
        <v>452</v>
      </c>
      <c r="N186" s="7" t="s">
        <v>453</v>
      </c>
      <c r="O186" s="7"/>
      <c r="P186" s="7"/>
      <c r="Q186" s="7"/>
      <c r="R186" s="7"/>
    </row>
    <row r="187" customFormat="false" ht="15" hidden="false" customHeight="false" outlineLevel="0" collapsed="false">
      <c r="A187" s="7" t="s">
        <v>278</v>
      </c>
      <c r="B187" s="7" t="s">
        <v>63</v>
      </c>
      <c r="C187" s="7" t="n">
        <v>67233.3</v>
      </c>
      <c r="D187" s="7" t="n">
        <v>66882.4</v>
      </c>
      <c r="E187" s="7" t="n">
        <v>0.0052465222539862</v>
      </c>
      <c r="F187" s="7" t="s">
        <v>60</v>
      </c>
      <c r="G187" s="7" t="s">
        <v>459</v>
      </c>
      <c r="H187" s="7" t="s">
        <v>66</v>
      </c>
      <c r="I187" s="32" t="b">
        <f aca="false">FALSE()</f>
        <v>0</v>
      </c>
      <c r="J187" s="32" t="b">
        <f aca="false">TRUE()</f>
        <v>1</v>
      </c>
      <c r="K187" s="32" t="b">
        <f aca="false">FALSE()</f>
        <v>0</v>
      </c>
      <c r="L187" s="7" t="s">
        <v>445</v>
      </c>
      <c r="M187" s="7" t="s">
        <v>446</v>
      </c>
      <c r="N187" s="7" t="s">
        <v>510</v>
      </c>
      <c r="O187" s="7" t="n">
        <v>66948.49</v>
      </c>
      <c r="P187" s="7" t="n">
        <v>66581.43</v>
      </c>
      <c r="Q187" s="7" t="n">
        <v>45.49</v>
      </c>
      <c r="R187" s="7" t="s">
        <v>69</v>
      </c>
    </row>
    <row r="188" customFormat="false" ht="15" hidden="false" customHeight="false" outlineLevel="0" collapsed="false">
      <c r="A188" s="7" t="s">
        <v>278</v>
      </c>
      <c r="B188" s="7" t="s">
        <v>64</v>
      </c>
      <c r="C188" s="7" t="n">
        <v>66651.4</v>
      </c>
      <c r="D188" s="7" t="n">
        <v>66546.7</v>
      </c>
      <c r="E188" s="7" t="n">
        <v>0.0015733312095114</v>
      </c>
      <c r="F188" s="7" t="s">
        <v>60</v>
      </c>
      <c r="G188" s="7" t="s">
        <v>459</v>
      </c>
      <c r="H188" s="7" t="s">
        <v>66</v>
      </c>
      <c r="I188" s="32" t="b">
        <f aca="false">FALSE()</f>
        <v>0</v>
      </c>
      <c r="J188" s="32" t="b">
        <f aca="false">TRUE()</f>
        <v>1</v>
      </c>
      <c r="K188" s="32" t="b">
        <f aca="false">FALSE()</f>
        <v>0</v>
      </c>
      <c r="L188" s="7" t="s">
        <v>445</v>
      </c>
      <c r="M188" s="7" t="s">
        <v>446</v>
      </c>
      <c r="N188" s="7" t="s">
        <v>465</v>
      </c>
      <c r="O188" s="7" t="n">
        <v>66657.93</v>
      </c>
      <c r="P188" s="7" t="n">
        <v>66247.24</v>
      </c>
      <c r="Q188" s="7" t="n">
        <v>20.08</v>
      </c>
      <c r="R188" s="7" t="s">
        <v>69</v>
      </c>
    </row>
    <row r="189" customFormat="false" ht="15" hidden="false" customHeight="false" outlineLevel="0" collapsed="false">
      <c r="A189" s="7" t="s">
        <v>511</v>
      </c>
      <c r="B189" s="7" t="s">
        <v>63</v>
      </c>
      <c r="C189" s="7" t="n">
        <v>66970.2</v>
      </c>
      <c r="D189" s="7" t="n">
        <v>66927.4</v>
      </c>
      <c r="E189" s="7" t="n">
        <v>0.0006394989197249</v>
      </c>
      <c r="F189" s="7" t="s">
        <v>450</v>
      </c>
      <c r="G189" s="7" t="s">
        <v>451</v>
      </c>
      <c r="H189" s="7" t="s">
        <v>450</v>
      </c>
      <c r="I189" s="32" t="b">
        <f aca="false">FALSE()</f>
        <v>0</v>
      </c>
      <c r="J189" s="32" t="b">
        <f aca="false">FALSE()</f>
        <v>0</v>
      </c>
      <c r="K189" s="32" t="b">
        <f aca="false">FALSE()</f>
        <v>0</v>
      </c>
      <c r="L189" s="7" t="s">
        <v>445</v>
      </c>
      <c r="M189" s="7" t="s">
        <v>452</v>
      </c>
      <c r="N189" s="7" t="s">
        <v>453</v>
      </c>
      <c r="O189" s="7"/>
      <c r="P189" s="7"/>
      <c r="Q189" s="7"/>
      <c r="R189" s="7"/>
    </row>
    <row r="190" customFormat="false" ht="15" hidden="false" customHeight="false" outlineLevel="0" collapsed="false">
      <c r="A190" s="7" t="s">
        <v>511</v>
      </c>
      <c r="B190" s="7" t="s">
        <v>64</v>
      </c>
      <c r="C190" s="7" t="n">
        <v>67245.3</v>
      </c>
      <c r="D190" s="7" t="n">
        <v>67061.6</v>
      </c>
      <c r="E190" s="7" t="n">
        <v>0.0027392725494172</v>
      </c>
      <c r="F190" s="7" t="s">
        <v>450</v>
      </c>
      <c r="G190" s="7" t="s">
        <v>451</v>
      </c>
      <c r="H190" s="7" t="s">
        <v>450</v>
      </c>
      <c r="I190" s="32" t="b">
        <f aca="false">FALSE()</f>
        <v>0</v>
      </c>
      <c r="J190" s="32" t="b">
        <f aca="false">FALSE()</f>
        <v>0</v>
      </c>
      <c r="K190" s="32" t="b">
        <f aca="false">FALSE()</f>
        <v>0</v>
      </c>
      <c r="L190" s="7" t="s">
        <v>445</v>
      </c>
      <c r="M190" s="7" t="s">
        <v>452</v>
      </c>
      <c r="N190" s="7" t="s">
        <v>453</v>
      </c>
      <c r="O190" s="7"/>
      <c r="P190" s="7"/>
      <c r="Q190" s="7"/>
      <c r="R190" s="7"/>
    </row>
    <row r="191" customFormat="false" ht="15" hidden="false" customHeight="false" outlineLevel="0" collapsed="false">
      <c r="A191" s="7" t="s">
        <v>512</v>
      </c>
      <c r="B191" s="7" t="s">
        <v>63</v>
      </c>
      <c r="C191" s="7" t="n">
        <v>66786.3</v>
      </c>
      <c r="D191" s="7" t="n">
        <v>66685.3</v>
      </c>
      <c r="E191" s="7" t="n">
        <v>0.0015145766758191</v>
      </c>
      <c r="F191" s="7" t="s">
        <v>450</v>
      </c>
      <c r="G191" s="7" t="s">
        <v>451</v>
      </c>
      <c r="H191" s="7" t="s">
        <v>450</v>
      </c>
      <c r="I191" s="32" t="b">
        <f aca="false">FALSE()</f>
        <v>0</v>
      </c>
      <c r="J191" s="32" t="b">
        <f aca="false">FALSE()</f>
        <v>0</v>
      </c>
      <c r="K191" s="32" t="b">
        <f aca="false">FALSE()</f>
        <v>0</v>
      </c>
      <c r="L191" s="7" t="s">
        <v>445</v>
      </c>
      <c r="M191" s="7" t="s">
        <v>452</v>
      </c>
      <c r="N191" s="7" t="s">
        <v>453</v>
      </c>
      <c r="O191" s="7"/>
      <c r="P191" s="7"/>
      <c r="Q191" s="7"/>
      <c r="R191" s="7"/>
    </row>
    <row r="192" customFormat="false" ht="15" hidden="false" customHeight="false" outlineLevel="0" collapsed="false">
      <c r="A192" s="7" t="s">
        <v>512</v>
      </c>
      <c r="B192" s="7" t="s">
        <v>64</v>
      </c>
      <c r="C192" s="7" t="n">
        <v>66832.8</v>
      </c>
      <c r="D192" s="7" t="n">
        <v>66666</v>
      </c>
      <c r="E192" s="7" t="n">
        <v>0.0025020250202502</v>
      </c>
      <c r="F192" s="7" t="s">
        <v>450</v>
      </c>
      <c r="G192" s="7" t="s">
        <v>451</v>
      </c>
      <c r="H192" s="7" t="s">
        <v>450</v>
      </c>
      <c r="I192" s="32" t="b">
        <f aca="false">FALSE()</f>
        <v>0</v>
      </c>
      <c r="J192" s="32" t="b">
        <f aca="false">FALSE()</f>
        <v>0</v>
      </c>
      <c r="K192" s="32" t="b">
        <f aca="false">FALSE()</f>
        <v>0</v>
      </c>
      <c r="L192" s="7" t="s">
        <v>445</v>
      </c>
      <c r="M192" s="7" t="s">
        <v>452</v>
      </c>
      <c r="N192" s="7" t="s">
        <v>453</v>
      </c>
      <c r="O192" s="7"/>
      <c r="P192" s="7"/>
      <c r="Q192" s="7"/>
      <c r="R192" s="7"/>
    </row>
    <row r="193" customFormat="false" ht="15" hidden="false" customHeight="false" outlineLevel="0" collapsed="false">
      <c r="A193" s="7" t="s">
        <v>279</v>
      </c>
      <c r="B193" s="7" t="s">
        <v>63</v>
      </c>
      <c r="C193" s="7" t="n">
        <v>69117.2</v>
      </c>
      <c r="D193" s="7" t="n">
        <v>68945.9</v>
      </c>
      <c r="E193" s="7" t="n">
        <v>0.0024845567321625</v>
      </c>
      <c r="F193" s="7" t="s">
        <v>60</v>
      </c>
      <c r="G193" s="7" t="s">
        <v>459</v>
      </c>
      <c r="H193" s="7" t="s">
        <v>66</v>
      </c>
      <c r="I193" s="32" t="b">
        <f aca="false">FALSE()</f>
        <v>0</v>
      </c>
      <c r="J193" s="32" t="b">
        <f aca="false">TRUE()</f>
        <v>1</v>
      </c>
      <c r="K193" s="32" t="b">
        <f aca="false">FALSE()</f>
        <v>0</v>
      </c>
      <c r="L193" s="7" t="s">
        <v>445</v>
      </c>
      <c r="M193" s="7" t="s">
        <v>446</v>
      </c>
      <c r="N193" s="7" t="s">
        <v>465</v>
      </c>
      <c r="O193" s="7" t="n">
        <v>69103.62</v>
      </c>
      <c r="P193" s="7" t="n">
        <v>68635.64</v>
      </c>
      <c r="Q193" s="7" t="n">
        <v>51.92</v>
      </c>
      <c r="R193" s="7" t="s">
        <v>69</v>
      </c>
    </row>
    <row r="194" customFormat="false" ht="15" hidden="false" customHeight="false" outlineLevel="0" collapsed="false">
      <c r="A194" s="7" t="s">
        <v>279</v>
      </c>
      <c r="B194" s="7" t="s">
        <v>64</v>
      </c>
      <c r="C194" s="7" t="n">
        <v>69521.4</v>
      </c>
      <c r="D194" s="7" t="n">
        <v>69200.1</v>
      </c>
      <c r="E194" s="7" t="n">
        <v>0.004643056874195</v>
      </c>
      <c r="F194" s="7" t="s">
        <v>60</v>
      </c>
      <c r="G194" s="7" t="s">
        <v>448</v>
      </c>
      <c r="H194" s="7" t="s">
        <v>67</v>
      </c>
      <c r="I194" s="32" t="b">
        <f aca="false">FALSE()</f>
        <v>0</v>
      </c>
      <c r="J194" s="32" t="b">
        <f aca="false">TRUE()</f>
        <v>1</v>
      </c>
      <c r="K194" s="32" t="b">
        <f aca="false">FALSE()</f>
        <v>0</v>
      </c>
      <c r="L194" s="7" t="s">
        <v>445</v>
      </c>
      <c r="M194" s="7" t="s">
        <v>446</v>
      </c>
      <c r="N194" s="7" t="s">
        <v>469</v>
      </c>
      <c r="O194" s="7" t="n">
        <v>69302.34</v>
      </c>
      <c r="P194" s="7" t="n">
        <v>69834.25</v>
      </c>
      <c r="Q194" s="7" t="n">
        <v>-110.7</v>
      </c>
      <c r="R194" s="7" t="s">
        <v>70</v>
      </c>
    </row>
    <row r="195" customFormat="false" ht="15" hidden="false" customHeight="false" outlineLevel="0" collapsed="false">
      <c r="A195" s="7" t="s">
        <v>513</v>
      </c>
      <c r="B195" s="7" t="s">
        <v>63</v>
      </c>
      <c r="C195" s="7" t="n">
        <v>68677.8</v>
      </c>
      <c r="D195" s="7" t="n">
        <v>68546.3</v>
      </c>
      <c r="E195" s="7" t="n">
        <v>0.0019184113511597</v>
      </c>
      <c r="F195" s="7" t="s">
        <v>450</v>
      </c>
      <c r="G195" s="7" t="s">
        <v>451</v>
      </c>
      <c r="H195" s="7" t="s">
        <v>450</v>
      </c>
      <c r="I195" s="32" t="b">
        <f aca="false">FALSE()</f>
        <v>0</v>
      </c>
      <c r="J195" s="32" t="b">
        <f aca="false">FALSE()</f>
        <v>0</v>
      </c>
      <c r="K195" s="32" t="b">
        <f aca="false">FALSE()</f>
        <v>0</v>
      </c>
      <c r="L195" s="7" t="s">
        <v>445</v>
      </c>
      <c r="M195" s="7" t="s">
        <v>452</v>
      </c>
      <c r="N195" s="7" t="s">
        <v>453</v>
      </c>
      <c r="O195" s="7"/>
      <c r="P195" s="7"/>
      <c r="Q195" s="7"/>
      <c r="R195" s="7"/>
    </row>
    <row r="196" customFormat="false" ht="15" hidden="false" customHeight="false" outlineLevel="0" collapsed="false">
      <c r="A196" s="7" t="s">
        <v>513</v>
      </c>
      <c r="B196" s="7" t="s">
        <v>64</v>
      </c>
      <c r="C196" s="7" t="n">
        <v>68571.8</v>
      </c>
      <c r="D196" s="7" t="n">
        <v>68260.8</v>
      </c>
      <c r="E196" s="7" t="n">
        <v>0.0045560555985279</v>
      </c>
      <c r="F196" s="7" t="s">
        <v>450</v>
      </c>
      <c r="G196" s="7" t="s">
        <v>451</v>
      </c>
      <c r="H196" s="7" t="s">
        <v>450</v>
      </c>
      <c r="I196" s="32" t="b">
        <f aca="false">FALSE()</f>
        <v>0</v>
      </c>
      <c r="J196" s="32" t="b">
        <f aca="false">FALSE()</f>
        <v>0</v>
      </c>
      <c r="K196" s="32" t="b">
        <f aca="false">FALSE()</f>
        <v>0</v>
      </c>
      <c r="L196" s="7" t="s">
        <v>445</v>
      </c>
      <c r="M196" s="7" t="s">
        <v>452</v>
      </c>
      <c r="N196" s="7" t="s">
        <v>453</v>
      </c>
      <c r="O196" s="7"/>
      <c r="P196" s="7"/>
      <c r="Q196" s="7"/>
      <c r="R196" s="7"/>
    </row>
    <row r="197" customFormat="false" ht="15" hidden="false" customHeight="false" outlineLevel="0" collapsed="false">
      <c r="A197" s="7" t="s">
        <v>280</v>
      </c>
      <c r="B197" s="7" t="s">
        <v>63</v>
      </c>
      <c r="C197" s="7" t="n">
        <v>71780.1</v>
      </c>
      <c r="D197" s="7" t="n">
        <v>71586</v>
      </c>
      <c r="E197" s="7" t="n">
        <v>0.0027114240214567</v>
      </c>
      <c r="F197" s="7" t="s">
        <v>60</v>
      </c>
      <c r="G197" s="7" t="s">
        <v>459</v>
      </c>
      <c r="H197" s="7" t="s">
        <v>66</v>
      </c>
      <c r="I197" s="32" t="b">
        <f aca="false">FALSE()</f>
        <v>0</v>
      </c>
      <c r="J197" s="32" t="b">
        <f aca="false">TRUE()</f>
        <v>1</v>
      </c>
      <c r="K197" s="32" t="b">
        <f aca="false">FALSE()</f>
        <v>0</v>
      </c>
      <c r="L197" s="7" t="s">
        <v>445</v>
      </c>
      <c r="M197" s="7" t="s">
        <v>446</v>
      </c>
      <c r="N197" s="7" t="s">
        <v>467</v>
      </c>
      <c r="O197" s="7" t="n">
        <v>71626.42</v>
      </c>
      <c r="P197" s="7" t="n">
        <v>71263.86</v>
      </c>
      <c r="Q197" s="7" t="n">
        <v>5.83</v>
      </c>
      <c r="R197" s="7" t="s">
        <v>69</v>
      </c>
    </row>
    <row r="198" customFormat="false" ht="15" hidden="false" customHeight="false" outlineLevel="0" collapsed="false">
      <c r="A198" s="7" t="s">
        <v>280</v>
      </c>
      <c r="B198" s="7" t="s">
        <v>64</v>
      </c>
      <c r="C198" s="7" t="n">
        <v>72579</v>
      </c>
      <c r="D198" s="7" t="n">
        <v>71631</v>
      </c>
      <c r="E198" s="7" t="n">
        <v>0.0132344934455752</v>
      </c>
      <c r="F198" s="7" t="s">
        <v>450</v>
      </c>
      <c r="G198" s="7" t="s">
        <v>451</v>
      </c>
      <c r="H198" s="7" t="s">
        <v>450</v>
      </c>
      <c r="I198" s="32" t="b">
        <f aca="false">FALSE()</f>
        <v>0</v>
      </c>
      <c r="J198" s="32" t="b">
        <f aca="false">FALSE()</f>
        <v>0</v>
      </c>
      <c r="K198" s="32" t="b">
        <f aca="false">FALSE()</f>
        <v>0</v>
      </c>
      <c r="L198" s="7" t="s">
        <v>445</v>
      </c>
      <c r="M198" s="7" t="s">
        <v>452</v>
      </c>
      <c r="N198" s="7" t="s">
        <v>453</v>
      </c>
      <c r="O198" s="7"/>
      <c r="P198" s="7"/>
      <c r="Q198" s="7"/>
      <c r="R198" s="7"/>
    </row>
    <row r="199" customFormat="false" ht="15" hidden="false" customHeight="false" outlineLevel="0" collapsed="false">
      <c r="A199" s="7" t="s">
        <v>281</v>
      </c>
      <c r="B199" s="7" t="s">
        <v>63</v>
      </c>
      <c r="C199" s="7" t="n">
        <v>71047.2</v>
      </c>
      <c r="D199" s="7" t="n">
        <v>70914.2</v>
      </c>
      <c r="E199" s="7" t="n">
        <v>0.0018755058930369</v>
      </c>
      <c r="F199" s="7" t="s">
        <v>60</v>
      </c>
      <c r="G199" s="7" t="s">
        <v>459</v>
      </c>
      <c r="H199" s="7" t="s">
        <v>66</v>
      </c>
      <c r="I199" s="32" t="b">
        <f aca="false">FALSE()</f>
        <v>0</v>
      </c>
      <c r="J199" s="32" t="b">
        <f aca="false">TRUE()</f>
        <v>1</v>
      </c>
      <c r="K199" s="32" t="b">
        <f aca="false">FALSE()</f>
        <v>0</v>
      </c>
      <c r="L199" s="7" t="s">
        <v>445</v>
      </c>
      <c r="M199" s="7" t="s">
        <v>446</v>
      </c>
      <c r="N199" s="7" t="s">
        <v>483</v>
      </c>
      <c r="O199" s="7" t="n">
        <v>70930.88</v>
      </c>
      <c r="P199" s="7" t="n">
        <v>70595.09</v>
      </c>
      <c r="Q199" s="7" t="n">
        <v>41.05</v>
      </c>
      <c r="R199" s="7" t="s">
        <v>69</v>
      </c>
    </row>
    <row r="200" customFormat="false" ht="15" hidden="false" customHeight="false" outlineLevel="0" collapsed="false">
      <c r="A200" s="7" t="s">
        <v>281</v>
      </c>
      <c r="B200" s="7" t="s">
        <v>64</v>
      </c>
      <c r="C200" s="7" t="n">
        <v>71128.4</v>
      </c>
      <c r="D200" s="7" t="n">
        <v>70765.6</v>
      </c>
      <c r="E200" s="7" t="n">
        <v>0.0051267847654791</v>
      </c>
      <c r="F200" s="7" t="s">
        <v>450</v>
      </c>
      <c r="G200" s="7" t="s">
        <v>451</v>
      </c>
      <c r="H200" s="7" t="s">
        <v>450</v>
      </c>
      <c r="I200" s="32" t="b">
        <f aca="false">FALSE()</f>
        <v>0</v>
      </c>
      <c r="J200" s="32" t="b">
        <f aca="false">FALSE()</f>
        <v>0</v>
      </c>
      <c r="K200" s="32" t="b">
        <f aca="false">FALSE()</f>
        <v>0</v>
      </c>
      <c r="L200" s="7" t="s">
        <v>445</v>
      </c>
      <c r="M200" s="7" t="s">
        <v>452</v>
      </c>
      <c r="N200" s="7" t="s">
        <v>453</v>
      </c>
      <c r="O200" s="7"/>
      <c r="P200" s="7"/>
      <c r="Q200" s="7"/>
      <c r="R200" s="7"/>
    </row>
    <row r="201" customFormat="false" ht="15" hidden="false" customHeight="false" outlineLevel="0" collapsed="false">
      <c r="A201" s="7" t="s">
        <v>282</v>
      </c>
      <c r="B201" s="7" t="s">
        <v>63</v>
      </c>
      <c r="C201" s="7" t="n">
        <v>71763.8</v>
      </c>
      <c r="D201" s="7" t="n">
        <v>71618</v>
      </c>
      <c r="E201" s="7" t="n">
        <v>0.0020358010556005</v>
      </c>
      <c r="F201" s="7" t="s">
        <v>59</v>
      </c>
      <c r="G201" s="7" t="s">
        <v>444</v>
      </c>
      <c r="H201" s="7" t="s">
        <v>67</v>
      </c>
      <c r="I201" s="32" t="b">
        <f aca="false">TRUE()</f>
        <v>1</v>
      </c>
      <c r="J201" s="32" t="b">
        <f aca="false">FALSE()</f>
        <v>0</v>
      </c>
      <c r="K201" s="32" t="b">
        <f aca="false">FALSE()</f>
        <v>0</v>
      </c>
      <c r="L201" s="7" t="s">
        <v>445</v>
      </c>
      <c r="M201" s="7" t="s">
        <v>446</v>
      </c>
      <c r="N201" s="7" t="s">
        <v>514</v>
      </c>
      <c r="O201" s="7" t="n">
        <v>71446.91</v>
      </c>
      <c r="P201" s="7" t="n">
        <v>71725.43</v>
      </c>
      <c r="Q201" s="7" t="n">
        <v>-132.92</v>
      </c>
      <c r="R201" s="7" t="s">
        <v>70</v>
      </c>
    </row>
    <row r="202" customFormat="false" ht="15" hidden="false" customHeight="false" outlineLevel="0" collapsed="false">
      <c r="A202" s="7" t="s">
        <v>282</v>
      </c>
      <c r="B202" s="7" t="s">
        <v>64</v>
      </c>
      <c r="C202" s="7" t="n">
        <v>72381</v>
      </c>
      <c r="D202" s="7" t="n">
        <v>71868.5</v>
      </c>
      <c r="E202" s="7" t="n">
        <v>0.0071310796802493</v>
      </c>
      <c r="F202" s="7" t="s">
        <v>450</v>
      </c>
      <c r="G202" s="7" t="s">
        <v>451</v>
      </c>
      <c r="H202" s="7" t="s">
        <v>450</v>
      </c>
      <c r="I202" s="32" t="b">
        <f aca="false">FALSE()</f>
        <v>0</v>
      </c>
      <c r="J202" s="32" t="b">
        <f aca="false">FALSE()</f>
        <v>0</v>
      </c>
      <c r="K202" s="32" t="b">
        <f aca="false">FALSE()</f>
        <v>0</v>
      </c>
      <c r="L202" s="7" t="s">
        <v>445</v>
      </c>
      <c r="M202" s="7" t="s">
        <v>452</v>
      </c>
      <c r="N202" s="7" t="s">
        <v>453</v>
      </c>
      <c r="O202" s="7"/>
      <c r="P202" s="7"/>
      <c r="Q202" s="7"/>
      <c r="R202" s="7"/>
    </row>
    <row r="203" customFormat="false" ht="15" hidden="false" customHeight="false" outlineLevel="0" collapsed="false">
      <c r="A203" s="7" t="s">
        <v>283</v>
      </c>
      <c r="B203" s="7" t="s">
        <v>63</v>
      </c>
      <c r="C203" s="7" t="n">
        <v>72776.7</v>
      </c>
      <c r="D203" s="7" t="n">
        <v>72698</v>
      </c>
      <c r="E203" s="7" t="n">
        <v>0.001082560730694</v>
      </c>
      <c r="F203" s="7" t="s">
        <v>60</v>
      </c>
      <c r="G203" s="7" t="s">
        <v>459</v>
      </c>
      <c r="H203" s="7" t="s">
        <v>66</v>
      </c>
      <c r="I203" s="32" t="b">
        <f aca="false">FALSE()</f>
        <v>0</v>
      </c>
      <c r="J203" s="32" t="b">
        <f aca="false">TRUE()</f>
        <v>1</v>
      </c>
      <c r="K203" s="32" t="b">
        <f aca="false">FALSE()</f>
        <v>0</v>
      </c>
      <c r="L203" s="7" t="s">
        <v>445</v>
      </c>
      <c r="M203" s="7" t="s">
        <v>446</v>
      </c>
      <c r="N203" s="7" t="s">
        <v>460</v>
      </c>
      <c r="O203" s="7" t="n">
        <v>72722.34</v>
      </c>
      <c r="P203" s="7" t="n">
        <v>72370.86</v>
      </c>
      <c r="Q203" s="7" t="n">
        <v>3.77</v>
      </c>
      <c r="R203" s="7" t="s">
        <v>69</v>
      </c>
    </row>
    <row r="204" customFormat="false" ht="15" hidden="false" customHeight="false" outlineLevel="0" collapsed="false">
      <c r="A204" s="7" t="s">
        <v>283</v>
      </c>
      <c r="B204" s="7" t="s">
        <v>64</v>
      </c>
      <c r="C204" s="7" t="n">
        <v>72678.2</v>
      </c>
      <c r="D204" s="7" t="n">
        <v>72533.7</v>
      </c>
      <c r="E204" s="7" t="n">
        <v>0.0019921774292501</v>
      </c>
      <c r="F204" s="7" t="s">
        <v>60</v>
      </c>
      <c r="G204" s="7" t="s">
        <v>448</v>
      </c>
      <c r="H204" s="7" t="s">
        <v>67</v>
      </c>
      <c r="I204" s="32" t="b">
        <f aca="false">FALSE()</f>
        <v>0</v>
      </c>
      <c r="J204" s="32" t="b">
        <f aca="false">TRUE()</f>
        <v>1</v>
      </c>
      <c r="K204" s="32" t="b">
        <f aca="false">FALSE()</f>
        <v>0</v>
      </c>
      <c r="L204" s="7" t="s">
        <v>445</v>
      </c>
      <c r="M204" s="7" t="s">
        <v>446</v>
      </c>
      <c r="N204" s="7" t="s">
        <v>469</v>
      </c>
      <c r="O204" s="7" t="n">
        <v>72597.78</v>
      </c>
      <c r="P204" s="7" t="n">
        <v>73005.25</v>
      </c>
      <c r="Q204" s="7" t="n">
        <v>-89.76</v>
      </c>
      <c r="R204" s="7" t="s">
        <v>70</v>
      </c>
    </row>
    <row r="205" customFormat="false" ht="15" hidden="false" customHeight="false" outlineLevel="0" collapsed="false">
      <c r="A205" s="7" t="s">
        <v>284</v>
      </c>
      <c r="B205" s="7" t="s">
        <v>63</v>
      </c>
      <c r="C205" s="7" t="n">
        <v>71707</v>
      </c>
      <c r="D205" s="7" t="n">
        <v>71589.9</v>
      </c>
      <c r="E205" s="7" t="n">
        <v>0.0016357055953424</v>
      </c>
      <c r="F205" s="7" t="s">
        <v>60</v>
      </c>
      <c r="G205" s="7" t="s">
        <v>448</v>
      </c>
      <c r="H205" s="7" t="s">
        <v>67</v>
      </c>
      <c r="I205" s="32" t="b">
        <f aca="false">FALSE()</f>
        <v>0</v>
      </c>
      <c r="J205" s="32" t="b">
        <f aca="false">TRUE()</f>
        <v>1</v>
      </c>
      <c r="K205" s="32" t="b">
        <f aca="false">FALSE()</f>
        <v>0</v>
      </c>
      <c r="L205" s="7" t="s">
        <v>445</v>
      </c>
      <c r="M205" s="7" t="s">
        <v>446</v>
      </c>
      <c r="N205" s="7" t="s">
        <v>472</v>
      </c>
      <c r="O205" s="7" t="n">
        <v>71613.87</v>
      </c>
      <c r="P205" s="7" t="n">
        <v>72029.68</v>
      </c>
      <c r="Q205" s="7" t="n">
        <v>18.1</v>
      </c>
      <c r="R205" s="7" t="s">
        <v>69</v>
      </c>
    </row>
    <row r="206" customFormat="false" ht="15" hidden="false" customHeight="false" outlineLevel="0" collapsed="false">
      <c r="A206" s="7" t="s">
        <v>284</v>
      </c>
      <c r="B206" s="7" t="s">
        <v>64</v>
      </c>
      <c r="C206" s="7" t="n">
        <v>71060</v>
      </c>
      <c r="D206" s="7" t="n">
        <v>70900</v>
      </c>
      <c r="E206" s="7" t="n">
        <v>0.0022566995768688</v>
      </c>
      <c r="F206" s="7" t="s">
        <v>450</v>
      </c>
      <c r="G206" s="7" t="s">
        <v>451</v>
      </c>
      <c r="H206" s="7" t="s">
        <v>450</v>
      </c>
      <c r="I206" s="32" t="b">
        <f aca="false">FALSE()</f>
        <v>0</v>
      </c>
      <c r="J206" s="32" t="b">
        <f aca="false">FALSE()</f>
        <v>0</v>
      </c>
      <c r="K206" s="32" t="b">
        <f aca="false">FALSE()</f>
        <v>0</v>
      </c>
      <c r="L206" s="7" t="s">
        <v>445</v>
      </c>
      <c r="M206" s="7" t="s">
        <v>452</v>
      </c>
      <c r="N206" s="7" t="s">
        <v>453</v>
      </c>
      <c r="O206" s="7"/>
      <c r="P206" s="7"/>
      <c r="Q206" s="7"/>
      <c r="R206" s="7"/>
    </row>
    <row r="207" customFormat="false" ht="15" hidden="false" customHeight="false" outlineLevel="0" collapsed="false">
      <c r="A207" s="7" t="s">
        <v>285</v>
      </c>
      <c r="B207" s="7" t="s">
        <v>63</v>
      </c>
      <c r="C207" s="7" t="n">
        <v>70776.6</v>
      </c>
      <c r="D207" s="7" t="n">
        <v>70652.8</v>
      </c>
      <c r="E207" s="7" t="n">
        <v>0.0017522306263871</v>
      </c>
      <c r="F207" s="7" t="s">
        <v>450</v>
      </c>
      <c r="G207" s="7" t="s">
        <v>451</v>
      </c>
      <c r="H207" s="7" t="s">
        <v>450</v>
      </c>
      <c r="I207" s="32" t="b">
        <f aca="false">FALSE()</f>
        <v>0</v>
      </c>
      <c r="J207" s="32" t="b">
        <f aca="false">FALSE()</f>
        <v>0</v>
      </c>
      <c r="K207" s="32" t="b">
        <f aca="false">FALSE()</f>
        <v>0</v>
      </c>
      <c r="L207" s="7" t="s">
        <v>445</v>
      </c>
      <c r="M207" s="7" t="s">
        <v>452</v>
      </c>
      <c r="N207" s="7" t="s">
        <v>453</v>
      </c>
      <c r="O207" s="7"/>
      <c r="P207" s="7"/>
      <c r="Q207" s="7"/>
      <c r="R207" s="7"/>
    </row>
    <row r="208" customFormat="false" ht="15" hidden="false" customHeight="false" outlineLevel="0" collapsed="false">
      <c r="A208" s="7" t="s">
        <v>285</v>
      </c>
      <c r="B208" s="7" t="s">
        <v>64</v>
      </c>
      <c r="C208" s="7" t="n">
        <v>71188.2</v>
      </c>
      <c r="D208" s="7" t="n">
        <v>70780</v>
      </c>
      <c r="E208" s="7" t="n">
        <v>0.0057671658660638</v>
      </c>
      <c r="F208" s="7" t="s">
        <v>59</v>
      </c>
      <c r="G208" s="7" t="s">
        <v>444</v>
      </c>
      <c r="H208" s="7" t="s">
        <v>66</v>
      </c>
      <c r="I208" s="32" t="b">
        <f aca="false">TRUE()</f>
        <v>1</v>
      </c>
      <c r="J208" s="32" t="b">
        <f aca="false">FALSE()</f>
        <v>0</v>
      </c>
      <c r="K208" s="32" t="b">
        <f aca="false">FALSE()</f>
        <v>0</v>
      </c>
      <c r="L208" s="7" t="s">
        <v>445</v>
      </c>
      <c r="M208" s="7" t="s">
        <v>446</v>
      </c>
      <c r="N208" s="7" t="s">
        <v>495</v>
      </c>
      <c r="O208" s="7" t="n">
        <v>71637.32</v>
      </c>
      <c r="P208" s="7" t="n">
        <v>71081.42</v>
      </c>
      <c r="Q208" s="7" t="n">
        <v>24.08</v>
      </c>
      <c r="R208" s="7" t="s">
        <v>69</v>
      </c>
    </row>
    <row r="209" customFormat="false" ht="15" hidden="false" customHeight="false" outlineLevel="0" collapsed="false">
      <c r="A209" s="7" t="s">
        <v>286</v>
      </c>
      <c r="B209" s="7" t="s">
        <v>63</v>
      </c>
      <c r="C209" s="7" t="n">
        <v>74648.4</v>
      </c>
      <c r="D209" s="7" t="n">
        <v>74459.6</v>
      </c>
      <c r="E209" s="7" t="n">
        <v>0.0025356031995872</v>
      </c>
      <c r="F209" s="7" t="s">
        <v>60</v>
      </c>
      <c r="G209" s="7" t="s">
        <v>459</v>
      </c>
      <c r="H209" s="7" t="s">
        <v>66</v>
      </c>
      <c r="I209" s="32" t="b">
        <f aca="false">FALSE()</f>
        <v>0</v>
      </c>
      <c r="J209" s="32" t="b">
        <f aca="false">TRUE()</f>
        <v>1</v>
      </c>
      <c r="K209" s="32" t="b">
        <f aca="false">FALSE()</f>
        <v>0</v>
      </c>
      <c r="L209" s="7" t="s">
        <v>445</v>
      </c>
      <c r="M209" s="7" t="s">
        <v>446</v>
      </c>
      <c r="N209" s="7" t="s">
        <v>465</v>
      </c>
      <c r="O209" s="7" t="n">
        <v>74528.2</v>
      </c>
      <c r="P209" s="7" t="n">
        <v>74124.53</v>
      </c>
      <c r="Q209" s="7" t="n">
        <v>21.08</v>
      </c>
      <c r="R209" s="7" t="s">
        <v>69</v>
      </c>
    </row>
    <row r="210" customFormat="false" ht="15" hidden="false" customHeight="false" outlineLevel="0" collapsed="false">
      <c r="A210" s="7" t="s">
        <v>286</v>
      </c>
      <c r="B210" s="7" t="s">
        <v>64</v>
      </c>
      <c r="C210" s="7" t="n">
        <v>75197.6</v>
      </c>
      <c r="D210" s="7" t="n">
        <v>74452.8</v>
      </c>
      <c r="E210" s="7" t="n">
        <v>0.0100036533212989</v>
      </c>
      <c r="F210" s="7" t="s">
        <v>59</v>
      </c>
      <c r="G210" s="7" t="s">
        <v>444</v>
      </c>
      <c r="H210" s="7" t="s">
        <v>66</v>
      </c>
      <c r="I210" s="32" t="b">
        <f aca="false">TRUE()</f>
        <v>1</v>
      </c>
      <c r="J210" s="32" t="b">
        <f aca="false">FALSE()</f>
        <v>0</v>
      </c>
      <c r="K210" s="32" t="b">
        <f aca="false">FALSE()</f>
        <v>0</v>
      </c>
      <c r="L210" s="7" t="s">
        <v>445</v>
      </c>
      <c r="M210" s="7" t="s">
        <v>446</v>
      </c>
      <c r="N210" s="7" t="s">
        <v>503</v>
      </c>
      <c r="O210" s="7" t="n">
        <v>75486.19</v>
      </c>
      <c r="P210" s="7" t="n">
        <v>75084.8</v>
      </c>
      <c r="Q210" s="7" t="n">
        <v>20.68</v>
      </c>
      <c r="R210" s="7" t="s">
        <v>69</v>
      </c>
    </row>
    <row r="211" customFormat="false" ht="15" hidden="false" customHeight="false" outlineLevel="0" collapsed="false">
      <c r="A211" s="7" t="s">
        <v>287</v>
      </c>
      <c r="B211" s="7" t="s">
        <v>63</v>
      </c>
      <c r="C211" s="7" t="n">
        <v>73681.1</v>
      </c>
      <c r="D211" s="7" t="n">
        <v>73530.1</v>
      </c>
      <c r="E211" s="7" t="n">
        <v>0.0020535807784839</v>
      </c>
      <c r="F211" s="7" t="s">
        <v>450</v>
      </c>
      <c r="G211" s="7" t="s">
        <v>451</v>
      </c>
      <c r="H211" s="7" t="s">
        <v>450</v>
      </c>
      <c r="I211" s="32" t="b">
        <f aca="false">FALSE()</f>
        <v>0</v>
      </c>
      <c r="J211" s="32" t="b">
        <f aca="false">FALSE()</f>
        <v>0</v>
      </c>
      <c r="K211" s="32" t="b">
        <f aca="false">FALSE()</f>
        <v>0</v>
      </c>
      <c r="L211" s="7" t="s">
        <v>445</v>
      </c>
      <c r="M211" s="7" t="s">
        <v>452</v>
      </c>
      <c r="N211" s="7" t="s">
        <v>453</v>
      </c>
      <c r="O211" s="7"/>
      <c r="P211" s="7"/>
      <c r="Q211" s="7"/>
      <c r="R211" s="7"/>
    </row>
    <row r="212" customFormat="false" ht="15" hidden="false" customHeight="false" outlineLevel="0" collapsed="false">
      <c r="A212" s="7" t="s">
        <v>287</v>
      </c>
      <c r="B212" s="7" t="s">
        <v>64</v>
      </c>
      <c r="C212" s="7" t="n">
        <v>74380</v>
      </c>
      <c r="D212" s="7" t="n">
        <v>73801.8</v>
      </c>
      <c r="E212" s="7" t="n">
        <v>0.0078344972615843</v>
      </c>
      <c r="F212" s="7" t="s">
        <v>60</v>
      </c>
      <c r="G212" s="7" t="s">
        <v>459</v>
      </c>
      <c r="H212" s="7" t="s">
        <v>66</v>
      </c>
      <c r="I212" s="32" t="b">
        <f aca="false">FALSE()</f>
        <v>0</v>
      </c>
      <c r="J212" s="32" t="b">
        <f aca="false">TRUE()</f>
        <v>1</v>
      </c>
      <c r="K212" s="32" t="b">
        <f aca="false">FALSE()</f>
        <v>0</v>
      </c>
      <c r="L212" s="7" t="s">
        <v>445</v>
      </c>
      <c r="M212" s="7" t="s">
        <v>446</v>
      </c>
      <c r="N212" s="7" t="s">
        <v>465</v>
      </c>
      <c r="O212" s="7" t="n">
        <v>74030.7</v>
      </c>
      <c r="P212" s="7" t="n">
        <v>73469.69</v>
      </c>
      <c r="Q212" s="7" t="n">
        <v>32.6</v>
      </c>
      <c r="R212" s="7" t="s">
        <v>69</v>
      </c>
    </row>
    <row r="213" customFormat="false" ht="15" hidden="false" customHeight="false" outlineLevel="0" collapsed="false">
      <c r="A213" s="7" t="s">
        <v>288</v>
      </c>
      <c r="B213" s="7" t="s">
        <v>63</v>
      </c>
      <c r="C213" s="7" t="n">
        <v>74869.4</v>
      </c>
      <c r="D213" s="7" t="n">
        <v>74800</v>
      </c>
      <c r="E213" s="7" t="n">
        <v>0.0009278074866309</v>
      </c>
      <c r="F213" s="7" t="s">
        <v>59</v>
      </c>
      <c r="G213" s="7" t="s">
        <v>444</v>
      </c>
      <c r="H213" s="7" t="s">
        <v>67</v>
      </c>
      <c r="I213" s="32" t="b">
        <f aca="false">TRUE()</f>
        <v>1</v>
      </c>
      <c r="J213" s="32" t="b">
        <f aca="false">FALSE()</f>
        <v>0</v>
      </c>
      <c r="K213" s="32" t="b">
        <f aca="false">FALSE()</f>
        <v>0</v>
      </c>
      <c r="L213" s="7" t="s">
        <v>445</v>
      </c>
      <c r="M213" s="7" t="s">
        <v>446</v>
      </c>
      <c r="N213" s="7" t="s">
        <v>515</v>
      </c>
      <c r="O213" s="7" t="n">
        <v>74652.77</v>
      </c>
      <c r="P213" s="7" t="n">
        <v>74912.2</v>
      </c>
      <c r="Q213" s="7" t="n">
        <v>7.83</v>
      </c>
      <c r="R213" s="7" t="s">
        <v>69</v>
      </c>
    </row>
    <row r="214" customFormat="false" ht="15" hidden="false" customHeight="false" outlineLevel="0" collapsed="false">
      <c r="A214" s="7" t="s">
        <v>288</v>
      </c>
      <c r="B214" s="7" t="s">
        <v>64</v>
      </c>
      <c r="C214" s="7" t="n">
        <v>74977.9</v>
      </c>
      <c r="D214" s="7" t="n">
        <v>74440</v>
      </c>
      <c r="E214" s="7" t="n">
        <v>0.0072259537882857</v>
      </c>
      <c r="F214" s="7" t="s">
        <v>59</v>
      </c>
      <c r="G214" s="7" t="s">
        <v>444</v>
      </c>
      <c r="H214" s="7" t="s">
        <v>67</v>
      </c>
      <c r="I214" s="32" t="b">
        <f aca="false">TRUE()</f>
        <v>1</v>
      </c>
      <c r="J214" s="32" t="b">
        <f aca="false">FALSE()</f>
        <v>0</v>
      </c>
      <c r="K214" s="32" t="b">
        <f aca="false">FALSE()</f>
        <v>0</v>
      </c>
      <c r="L214" s="7" t="s">
        <v>445</v>
      </c>
      <c r="M214" s="7" t="s">
        <v>446</v>
      </c>
      <c r="N214" s="7" t="s">
        <v>516</v>
      </c>
      <c r="O214" s="7" t="n">
        <v>73741.25</v>
      </c>
      <c r="P214" s="7" t="n">
        <v>74551.66</v>
      </c>
      <c r="Q214" s="7" t="n">
        <v>-80.41</v>
      </c>
      <c r="R214" s="7" t="s">
        <v>70</v>
      </c>
    </row>
    <row r="215" customFormat="false" ht="15" hidden="false" customHeight="false" outlineLevel="0" collapsed="false">
      <c r="A215" s="7" t="s">
        <v>289</v>
      </c>
      <c r="B215" s="7" t="s">
        <v>63</v>
      </c>
      <c r="C215" s="7" t="n">
        <v>74979</v>
      </c>
      <c r="D215" s="7" t="n">
        <v>74897.5</v>
      </c>
      <c r="E215" s="7" t="n">
        <v>0.0010881538102072</v>
      </c>
      <c r="F215" s="7" t="s">
        <v>450</v>
      </c>
      <c r="G215" s="7" t="s">
        <v>451</v>
      </c>
      <c r="H215" s="7" t="s">
        <v>450</v>
      </c>
      <c r="I215" s="32" t="b">
        <f aca="false">FALSE()</f>
        <v>0</v>
      </c>
      <c r="J215" s="32" t="b">
        <f aca="false">FALSE()</f>
        <v>0</v>
      </c>
      <c r="K215" s="32" t="b">
        <f aca="false">FALSE()</f>
        <v>0</v>
      </c>
      <c r="L215" s="7" t="s">
        <v>445</v>
      </c>
      <c r="M215" s="7" t="s">
        <v>452</v>
      </c>
      <c r="N215" s="7" t="s">
        <v>453</v>
      </c>
      <c r="O215" s="7"/>
      <c r="P215" s="7"/>
      <c r="Q215" s="7"/>
      <c r="R215" s="7"/>
    </row>
    <row r="216" customFormat="false" ht="15" hidden="false" customHeight="false" outlineLevel="0" collapsed="false">
      <c r="A216" s="7" t="s">
        <v>289</v>
      </c>
      <c r="B216" s="7" t="s">
        <v>64</v>
      </c>
      <c r="C216" s="7" t="n">
        <v>76886.6</v>
      </c>
      <c r="D216" s="7" t="n">
        <v>76023</v>
      </c>
      <c r="E216" s="7" t="n">
        <v>0.0113597200847112</v>
      </c>
      <c r="F216" s="7" t="s">
        <v>59</v>
      </c>
      <c r="G216" s="7" t="s">
        <v>444</v>
      </c>
      <c r="H216" s="7" t="s">
        <v>66</v>
      </c>
      <c r="I216" s="32" t="b">
        <f aca="false">TRUE()</f>
        <v>1</v>
      </c>
      <c r="J216" s="32" t="b">
        <f aca="false">FALSE()</f>
        <v>0</v>
      </c>
      <c r="K216" s="32" t="b">
        <f aca="false">FALSE()</f>
        <v>0</v>
      </c>
      <c r="L216" s="7" t="s">
        <v>445</v>
      </c>
      <c r="M216" s="7" t="s">
        <v>446</v>
      </c>
      <c r="N216" s="7" t="s">
        <v>517</v>
      </c>
      <c r="O216" s="7" t="n">
        <v>77309.66</v>
      </c>
      <c r="P216" s="7" t="n">
        <v>76771.27</v>
      </c>
      <c r="Q216" s="7" t="n">
        <v>27.02</v>
      </c>
      <c r="R216" s="7" t="s">
        <v>69</v>
      </c>
    </row>
    <row r="217" customFormat="false" ht="15" hidden="false" customHeight="false" outlineLevel="0" collapsed="false">
      <c r="A217" s="7" t="s">
        <v>290</v>
      </c>
      <c r="B217" s="7" t="s">
        <v>63</v>
      </c>
      <c r="C217" s="7" t="n">
        <v>77054.6</v>
      </c>
      <c r="D217" s="7" t="n">
        <v>76925.5</v>
      </c>
      <c r="E217" s="7" t="n">
        <v>0.0016782471352153</v>
      </c>
      <c r="F217" s="7" t="s">
        <v>60</v>
      </c>
      <c r="G217" s="7" t="s">
        <v>459</v>
      </c>
      <c r="H217" s="7" t="s">
        <v>66</v>
      </c>
      <c r="I217" s="32" t="b">
        <f aca="false">FALSE()</f>
        <v>0</v>
      </c>
      <c r="J217" s="32" t="b">
        <f aca="false">TRUE()</f>
        <v>1</v>
      </c>
      <c r="K217" s="32" t="b">
        <f aca="false">FALSE()</f>
        <v>0</v>
      </c>
      <c r="L217" s="7" t="s">
        <v>445</v>
      </c>
      <c r="M217" s="7" t="s">
        <v>446</v>
      </c>
      <c r="N217" s="7" t="s">
        <v>460</v>
      </c>
      <c r="O217" s="7" t="n">
        <v>76966.39</v>
      </c>
      <c r="P217" s="7" t="n">
        <v>76579.34</v>
      </c>
      <c r="Q217" s="7" t="n">
        <v>-86.89</v>
      </c>
      <c r="R217" s="7" t="s">
        <v>70</v>
      </c>
    </row>
    <row r="218" customFormat="false" ht="15" hidden="false" customHeight="false" outlineLevel="0" collapsed="false">
      <c r="A218" s="7" t="s">
        <v>290</v>
      </c>
      <c r="B218" s="7" t="s">
        <v>64</v>
      </c>
      <c r="C218" s="7" t="n">
        <v>76059.2</v>
      </c>
      <c r="D218" s="7" t="n">
        <v>75738</v>
      </c>
      <c r="E218" s="7" t="n">
        <v>0.0042409358578256</v>
      </c>
      <c r="F218" s="7" t="s">
        <v>450</v>
      </c>
      <c r="G218" s="7" t="s">
        <v>451</v>
      </c>
      <c r="H218" s="7" t="s">
        <v>450</v>
      </c>
      <c r="I218" s="32" t="b">
        <f aca="false">FALSE()</f>
        <v>0</v>
      </c>
      <c r="J218" s="32" t="b">
        <f aca="false">FALSE()</f>
        <v>0</v>
      </c>
      <c r="K218" s="32" t="b">
        <f aca="false">FALSE()</f>
        <v>0</v>
      </c>
      <c r="L218" s="7" t="s">
        <v>445</v>
      </c>
      <c r="M218" s="7" t="s">
        <v>452</v>
      </c>
      <c r="N218" s="7" t="s">
        <v>453</v>
      </c>
      <c r="O218" s="7"/>
      <c r="P218" s="7"/>
      <c r="Q218" s="7"/>
      <c r="R218" s="7"/>
    </row>
    <row r="219" customFormat="false" ht="15" hidden="false" customHeight="false" outlineLevel="0" collapsed="false">
      <c r="A219" s="7" t="s">
        <v>518</v>
      </c>
      <c r="B219" s="7" t="s">
        <v>63</v>
      </c>
      <c r="C219" s="7" t="n">
        <v>75188.4</v>
      </c>
      <c r="D219" s="7" t="n">
        <v>74930.4</v>
      </c>
      <c r="E219" s="7" t="n">
        <v>0.0034431952852246</v>
      </c>
      <c r="F219" s="7" t="s">
        <v>450</v>
      </c>
      <c r="G219" s="7" t="s">
        <v>451</v>
      </c>
      <c r="H219" s="7" t="s">
        <v>450</v>
      </c>
      <c r="I219" s="32" t="b">
        <f aca="false">FALSE()</f>
        <v>0</v>
      </c>
      <c r="J219" s="32" t="b">
        <f aca="false">FALSE()</f>
        <v>0</v>
      </c>
      <c r="K219" s="32" t="b">
        <f aca="false">FALSE()</f>
        <v>0</v>
      </c>
      <c r="L219" s="7" t="s">
        <v>445</v>
      </c>
      <c r="M219" s="7" t="s">
        <v>452</v>
      </c>
      <c r="N219" s="7" t="s">
        <v>453</v>
      </c>
      <c r="O219" s="7"/>
      <c r="P219" s="7"/>
      <c r="Q219" s="7"/>
      <c r="R219" s="7"/>
    </row>
    <row r="220" customFormat="false" ht="15" hidden="false" customHeight="false" outlineLevel="0" collapsed="false">
      <c r="A220" s="7" t="s">
        <v>518</v>
      </c>
      <c r="B220" s="7" t="s">
        <v>64</v>
      </c>
      <c r="C220" s="7" t="n">
        <v>76066</v>
      </c>
      <c r="D220" s="7" t="n">
        <v>75883.1</v>
      </c>
      <c r="E220" s="7" t="n">
        <v>0.0024102863483436</v>
      </c>
      <c r="F220" s="7" t="s">
        <v>450</v>
      </c>
      <c r="G220" s="7" t="s">
        <v>451</v>
      </c>
      <c r="H220" s="7" t="s">
        <v>450</v>
      </c>
      <c r="I220" s="32" t="b">
        <f aca="false">FALSE()</f>
        <v>0</v>
      </c>
      <c r="J220" s="32" t="b">
        <f aca="false">FALSE()</f>
        <v>0</v>
      </c>
      <c r="K220" s="32" t="b">
        <f aca="false">FALSE()</f>
        <v>0</v>
      </c>
      <c r="L220" s="7" t="s">
        <v>445</v>
      </c>
      <c r="M220" s="7" t="s">
        <v>452</v>
      </c>
      <c r="N220" s="7" t="s">
        <v>453</v>
      </c>
      <c r="O220" s="7"/>
      <c r="P220" s="7"/>
      <c r="Q220" s="7"/>
      <c r="R220" s="7"/>
    </row>
    <row r="221" customFormat="false" ht="15" hidden="false" customHeight="false" outlineLevel="0" collapsed="false">
      <c r="A221" s="7" t="s">
        <v>519</v>
      </c>
      <c r="B221" s="7" t="s">
        <v>63</v>
      </c>
      <c r="C221" s="7" t="n">
        <v>75209.7</v>
      </c>
      <c r="D221" s="7" t="n">
        <v>74802.6</v>
      </c>
      <c r="E221" s="7" t="n">
        <v>0.0054423241972871</v>
      </c>
      <c r="F221" s="7" t="s">
        <v>450</v>
      </c>
      <c r="G221" s="7" t="s">
        <v>451</v>
      </c>
      <c r="H221" s="7" t="s">
        <v>450</v>
      </c>
      <c r="I221" s="32" t="b">
        <f aca="false">FALSE()</f>
        <v>0</v>
      </c>
      <c r="J221" s="32" t="b">
        <f aca="false">FALSE()</f>
        <v>0</v>
      </c>
      <c r="K221" s="32" t="b">
        <f aca="false">FALSE()</f>
        <v>0</v>
      </c>
      <c r="L221" s="7" t="s">
        <v>445</v>
      </c>
      <c r="M221" s="7" t="s">
        <v>452</v>
      </c>
      <c r="N221" s="7" t="s">
        <v>453</v>
      </c>
      <c r="O221" s="7"/>
      <c r="P221" s="7"/>
      <c r="Q221" s="7"/>
      <c r="R221" s="7"/>
    </row>
    <row r="222" customFormat="false" ht="15" hidden="false" customHeight="false" outlineLevel="0" collapsed="false">
      <c r="A222" s="7" t="s">
        <v>519</v>
      </c>
      <c r="B222" s="7" t="s">
        <v>64</v>
      </c>
      <c r="C222" s="7" t="n">
        <v>75392</v>
      </c>
      <c r="D222" s="7" t="n">
        <v>74811.7</v>
      </c>
      <c r="E222" s="7" t="n">
        <v>0.0077568080928518</v>
      </c>
      <c r="F222" s="7" t="s">
        <v>450</v>
      </c>
      <c r="G222" s="7" t="s">
        <v>451</v>
      </c>
      <c r="H222" s="7" t="s">
        <v>450</v>
      </c>
      <c r="I222" s="32" t="b">
        <f aca="false">FALSE()</f>
        <v>0</v>
      </c>
      <c r="J222" s="32" t="b">
        <f aca="false">FALSE()</f>
        <v>0</v>
      </c>
      <c r="K222" s="32" t="b">
        <f aca="false">FALSE()</f>
        <v>0</v>
      </c>
      <c r="L222" s="7" t="s">
        <v>445</v>
      </c>
      <c r="M222" s="7" t="s">
        <v>452</v>
      </c>
      <c r="N222" s="7" t="s">
        <v>453</v>
      </c>
      <c r="O222" s="7"/>
      <c r="P222" s="7"/>
      <c r="Q222" s="7"/>
      <c r="R222" s="7"/>
    </row>
    <row r="223" customFormat="false" ht="15" hidden="false" customHeight="false" outlineLevel="0" collapsed="false">
      <c r="A223" s="7" t="s">
        <v>291</v>
      </c>
      <c r="B223" s="7" t="s">
        <v>63</v>
      </c>
      <c r="C223" s="7" t="n">
        <v>76272.4</v>
      </c>
      <c r="D223" s="7" t="n">
        <v>75981</v>
      </c>
      <c r="E223" s="7" t="n">
        <v>0.0038351693186453</v>
      </c>
      <c r="F223" s="7" t="s">
        <v>60</v>
      </c>
      <c r="G223" s="7" t="s">
        <v>448</v>
      </c>
      <c r="H223" s="7" t="s">
        <v>67</v>
      </c>
      <c r="I223" s="32" t="b">
        <f aca="false">FALSE()</f>
        <v>0</v>
      </c>
      <c r="J223" s="32" t="b">
        <f aca="false">TRUE()</f>
        <v>1</v>
      </c>
      <c r="K223" s="32" t="b">
        <f aca="false">FALSE()</f>
        <v>0</v>
      </c>
      <c r="L223" s="7" t="s">
        <v>445</v>
      </c>
      <c r="M223" s="7" t="s">
        <v>446</v>
      </c>
      <c r="N223" s="7" t="s">
        <v>472</v>
      </c>
      <c r="O223" s="7" t="n">
        <v>76034.79</v>
      </c>
      <c r="P223" s="7" t="n">
        <v>76615.63</v>
      </c>
      <c r="Q223" s="7" t="n">
        <v>-60.42</v>
      </c>
      <c r="R223" s="7" t="s">
        <v>70</v>
      </c>
    </row>
    <row r="224" customFormat="false" ht="15" hidden="false" customHeight="false" outlineLevel="0" collapsed="false">
      <c r="A224" s="7" t="s">
        <v>291</v>
      </c>
      <c r="B224" s="7" t="s">
        <v>64</v>
      </c>
      <c r="C224" s="7" t="n">
        <v>76144</v>
      </c>
      <c r="D224" s="7" t="n">
        <v>75688</v>
      </c>
      <c r="E224" s="7" t="n">
        <v>0.0060247331148927</v>
      </c>
      <c r="F224" s="7" t="s">
        <v>60</v>
      </c>
      <c r="G224" s="7" t="s">
        <v>459</v>
      </c>
      <c r="H224" s="7" t="s">
        <v>66</v>
      </c>
      <c r="I224" s="32" t="b">
        <f aca="false">FALSE()</f>
        <v>0</v>
      </c>
      <c r="J224" s="32" t="b">
        <f aca="false">TRUE()</f>
        <v>1</v>
      </c>
      <c r="K224" s="32" t="b">
        <f aca="false">FALSE()</f>
        <v>0</v>
      </c>
      <c r="L224" s="7" t="s">
        <v>445</v>
      </c>
      <c r="M224" s="7" t="s">
        <v>446</v>
      </c>
      <c r="N224" s="7" t="s">
        <v>483</v>
      </c>
      <c r="O224" s="7" t="n">
        <v>75810.16</v>
      </c>
      <c r="P224" s="7" t="n">
        <v>75347.4</v>
      </c>
      <c r="Q224" s="7" t="n">
        <v>35.38</v>
      </c>
      <c r="R224" s="7" t="s">
        <v>69</v>
      </c>
    </row>
    <row r="225" customFormat="false" ht="15" hidden="false" customHeight="false" outlineLevel="0" collapsed="false">
      <c r="A225" s="7" t="s">
        <v>292</v>
      </c>
      <c r="B225" s="7" t="s">
        <v>63</v>
      </c>
      <c r="C225" s="7" t="n">
        <v>78034.5</v>
      </c>
      <c r="D225" s="7" t="n">
        <v>77805.6</v>
      </c>
      <c r="E225" s="7" t="n">
        <v>0.0029419476233072</v>
      </c>
      <c r="F225" s="7" t="s">
        <v>60</v>
      </c>
      <c r="G225" s="7" t="s">
        <v>448</v>
      </c>
      <c r="H225" s="7" t="s">
        <v>67</v>
      </c>
      <c r="I225" s="32" t="b">
        <f aca="false">FALSE()</f>
        <v>0</v>
      </c>
      <c r="J225" s="32" t="b">
        <f aca="false">TRUE()</f>
        <v>1</v>
      </c>
      <c r="K225" s="32" t="b">
        <f aca="false">FALSE()</f>
        <v>0</v>
      </c>
      <c r="L225" s="7" t="s">
        <v>445</v>
      </c>
      <c r="M225" s="7" t="s">
        <v>446</v>
      </c>
      <c r="N225" s="7" t="s">
        <v>472</v>
      </c>
      <c r="O225" s="7" t="n">
        <v>77964.1</v>
      </c>
      <c r="P225" s="7" t="n">
        <v>78385.66</v>
      </c>
      <c r="Q225" s="7" t="n">
        <v>-93.83</v>
      </c>
      <c r="R225" s="7" t="s">
        <v>70</v>
      </c>
    </row>
    <row r="226" customFormat="false" ht="15" hidden="false" customHeight="false" outlineLevel="0" collapsed="false">
      <c r="A226" s="7" t="s">
        <v>292</v>
      </c>
      <c r="B226" s="7" t="s">
        <v>64</v>
      </c>
      <c r="C226" s="7" t="n">
        <v>78654</v>
      </c>
      <c r="D226" s="7" t="n">
        <v>78232.9</v>
      </c>
      <c r="E226" s="7" t="n">
        <v>0.0053826459200669</v>
      </c>
      <c r="F226" s="7" t="s">
        <v>450</v>
      </c>
      <c r="G226" s="7" t="s">
        <v>451</v>
      </c>
      <c r="H226" s="7" t="s">
        <v>450</v>
      </c>
      <c r="I226" s="32" t="b">
        <f aca="false">FALSE()</f>
        <v>0</v>
      </c>
      <c r="J226" s="32" t="b">
        <f aca="false">FALSE()</f>
        <v>0</v>
      </c>
      <c r="K226" s="32" t="b">
        <f aca="false">FALSE()</f>
        <v>0</v>
      </c>
      <c r="L226" s="7" t="s">
        <v>445</v>
      </c>
      <c r="M226" s="7" t="s">
        <v>452</v>
      </c>
      <c r="N226" s="7" t="s">
        <v>453</v>
      </c>
      <c r="O226" s="7"/>
      <c r="P226" s="7"/>
      <c r="Q226" s="7"/>
      <c r="R226" s="7"/>
    </row>
    <row r="227" customFormat="false" ht="15" hidden="false" customHeight="false" outlineLevel="0" collapsed="false">
      <c r="A227" s="7" t="s">
        <v>293</v>
      </c>
      <c r="B227" s="7" t="s">
        <v>63</v>
      </c>
      <c r="C227" s="7" t="n">
        <v>78135.9</v>
      </c>
      <c r="D227" s="7" t="n">
        <v>77991.6</v>
      </c>
      <c r="E227" s="7" t="n">
        <v>0.001850199252227</v>
      </c>
      <c r="F227" s="7" t="s">
        <v>60</v>
      </c>
      <c r="G227" s="7" t="s">
        <v>459</v>
      </c>
      <c r="H227" s="7" t="s">
        <v>66</v>
      </c>
      <c r="I227" s="32" t="b">
        <f aca="false">FALSE()</f>
        <v>0</v>
      </c>
      <c r="J227" s="32" t="b">
        <f aca="false">TRUE()</f>
        <v>1</v>
      </c>
      <c r="K227" s="32" t="b">
        <f aca="false">FALSE()</f>
        <v>0</v>
      </c>
      <c r="L227" s="7" t="s">
        <v>445</v>
      </c>
      <c r="M227" s="7" t="s">
        <v>446</v>
      </c>
      <c r="N227" s="7" t="s">
        <v>483</v>
      </c>
      <c r="O227" s="7" t="n">
        <v>78090.01</v>
      </c>
      <c r="P227" s="7" t="n">
        <v>77640.64</v>
      </c>
      <c r="Q227" s="7" t="n">
        <v>-98.17</v>
      </c>
      <c r="R227" s="7" t="s">
        <v>70</v>
      </c>
    </row>
    <row r="228" customFormat="false" ht="15" hidden="false" customHeight="false" outlineLevel="0" collapsed="false">
      <c r="A228" s="7" t="s">
        <v>293</v>
      </c>
      <c r="B228" s="7" t="s">
        <v>64</v>
      </c>
      <c r="C228" s="7" t="n">
        <v>77649.9</v>
      </c>
      <c r="D228" s="7" t="n">
        <v>77475.4</v>
      </c>
      <c r="E228" s="7" t="n">
        <v>0.0022523278356742</v>
      </c>
      <c r="F228" s="7" t="s">
        <v>60</v>
      </c>
      <c r="G228" s="7" t="s">
        <v>448</v>
      </c>
      <c r="H228" s="7" t="s">
        <v>67</v>
      </c>
      <c r="I228" s="32" t="b">
        <f aca="false">FALSE()</f>
        <v>0</v>
      </c>
      <c r="J228" s="32" t="b">
        <f aca="false">TRUE()</f>
        <v>1</v>
      </c>
      <c r="K228" s="32" t="b">
        <f aca="false">FALSE()</f>
        <v>0</v>
      </c>
      <c r="L228" s="7" t="s">
        <v>445</v>
      </c>
      <c r="M228" s="7" t="s">
        <v>446</v>
      </c>
      <c r="N228" s="7" t="s">
        <v>449</v>
      </c>
      <c r="O228" s="7" t="n">
        <v>77471.1</v>
      </c>
      <c r="P228" s="7" t="n">
        <v>77999.32</v>
      </c>
      <c r="Q228" s="7" t="n">
        <v>-111.93</v>
      </c>
      <c r="R228" s="7" t="s">
        <v>70</v>
      </c>
    </row>
    <row r="229" customFormat="false" ht="15" hidden="false" customHeight="false" outlineLevel="0" collapsed="false">
      <c r="A229" s="7" t="s">
        <v>294</v>
      </c>
      <c r="B229" s="7" t="s">
        <v>63</v>
      </c>
      <c r="C229" s="7" t="n">
        <v>77700.1</v>
      </c>
      <c r="D229" s="7" t="n">
        <v>77576.2</v>
      </c>
      <c r="E229" s="7" t="n">
        <v>0.0015971393288148</v>
      </c>
      <c r="F229" s="7" t="s">
        <v>60</v>
      </c>
      <c r="G229" s="7" t="s">
        <v>448</v>
      </c>
      <c r="H229" s="7" t="s">
        <v>67</v>
      </c>
      <c r="I229" s="32" t="b">
        <f aca="false">FALSE()</f>
        <v>0</v>
      </c>
      <c r="J229" s="32" t="b">
        <f aca="false">TRUE()</f>
        <v>1</v>
      </c>
      <c r="K229" s="32" t="b">
        <f aca="false">FALSE()</f>
        <v>0</v>
      </c>
      <c r="L229" s="7" t="s">
        <v>445</v>
      </c>
      <c r="M229" s="7" t="s">
        <v>446</v>
      </c>
      <c r="N229" s="7" t="s">
        <v>449</v>
      </c>
      <c r="O229" s="7" t="n">
        <v>77604.98</v>
      </c>
      <c r="P229" s="7" t="n">
        <v>78049.75</v>
      </c>
      <c r="Q229" s="7" t="n">
        <v>12.7</v>
      </c>
      <c r="R229" s="7" t="s">
        <v>69</v>
      </c>
    </row>
    <row r="230" customFormat="false" ht="15" hidden="false" customHeight="false" outlineLevel="0" collapsed="false">
      <c r="A230" s="7" t="s">
        <v>294</v>
      </c>
      <c r="B230" s="7" t="s">
        <v>64</v>
      </c>
      <c r="C230" s="7" t="n">
        <v>78255.2</v>
      </c>
      <c r="D230" s="7" t="n">
        <v>78000</v>
      </c>
      <c r="E230" s="7" t="n">
        <v>0.0032717948717948</v>
      </c>
      <c r="F230" s="7" t="s">
        <v>450</v>
      </c>
      <c r="G230" s="7" t="s">
        <v>451</v>
      </c>
      <c r="H230" s="7" t="s">
        <v>450</v>
      </c>
      <c r="I230" s="32" t="b">
        <f aca="false">FALSE()</f>
        <v>0</v>
      </c>
      <c r="J230" s="32" t="b">
        <f aca="false">FALSE()</f>
        <v>0</v>
      </c>
      <c r="K230" s="32" t="b">
        <f aca="false">FALSE()</f>
        <v>0</v>
      </c>
      <c r="L230" s="7" t="s">
        <v>445</v>
      </c>
      <c r="M230" s="7" t="s">
        <v>452</v>
      </c>
      <c r="N230" s="7" t="s">
        <v>453</v>
      </c>
      <c r="O230" s="7"/>
      <c r="P230" s="7"/>
      <c r="Q230" s="7"/>
      <c r="R230" s="7"/>
    </row>
    <row r="231" customFormat="false" ht="15" hidden="false" customHeight="false" outlineLevel="0" collapsed="false">
      <c r="A231" s="7" t="s">
        <v>520</v>
      </c>
      <c r="B231" s="7" t="s">
        <v>63</v>
      </c>
      <c r="C231" s="7" t="n">
        <v>77533.2</v>
      </c>
      <c r="D231" s="7" t="n">
        <v>77467.1</v>
      </c>
      <c r="E231" s="7" t="n">
        <v>0.0008532654507525</v>
      </c>
      <c r="F231" s="7" t="s">
        <v>450</v>
      </c>
      <c r="G231" s="7" t="s">
        <v>451</v>
      </c>
      <c r="H231" s="7" t="s">
        <v>450</v>
      </c>
      <c r="I231" s="32" t="b">
        <f aca="false">FALSE()</f>
        <v>0</v>
      </c>
      <c r="J231" s="32" t="b">
        <f aca="false">FALSE()</f>
        <v>0</v>
      </c>
      <c r="K231" s="32" t="b">
        <f aca="false">FALSE()</f>
        <v>0</v>
      </c>
      <c r="L231" s="7" t="s">
        <v>445</v>
      </c>
      <c r="M231" s="7" t="s">
        <v>452</v>
      </c>
      <c r="N231" s="7" t="s">
        <v>453</v>
      </c>
      <c r="O231" s="7"/>
      <c r="P231" s="7"/>
      <c r="Q231" s="7"/>
      <c r="R231" s="7"/>
    </row>
    <row r="232" customFormat="false" ht="15" hidden="false" customHeight="false" outlineLevel="0" collapsed="false">
      <c r="A232" s="7" t="s">
        <v>520</v>
      </c>
      <c r="B232" s="7" t="s">
        <v>64</v>
      </c>
      <c r="C232" s="7" t="n">
        <v>77638.5</v>
      </c>
      <c r="D232" s="7" t="n">
        <v>77560</v>
      </c>
      <c r="E232" s="7" t="n">
        <v>0.0010121196493037</v>
      </c>
      <c r="F232" s="7" t="s">
        <v>450</v>
      </c>
      <c r="G232" s="7" t="s">
        <v>451</v>
      </c>
      <c r="H232" s="7" t="s">
        <v>450</v>
      </c>
      <c r="I232" s="32" t="b">
        <f aca="false">FALSE()</f>
        <v>0</v>
      </c>
      <c r="J232" s="32" t="b">
        <f aca="false">FALSE()</f>
        <v>0</v>
      </c>
      <c r="K232" s="32" t="b">
        <f aca="false">FALSE()</f>
        <v>0</v>
      </c>
      <c r="L232" s="7" t="s">
        <v>445</v>
      </c>
      <c r="M232" s="7" t="s">
        <v>452</v>
      </c>
      <c r="N232" s="7" t="s">
        <v>453</v>
      </c>
      <c r="O232" s="7"/>
      <c r="P232" s="7"/>
      <c r="Q232" s="7"/>
      <c r="R232" s="7"/>
    </row>
    <row r="233" customFormat="false" ht="15" hidden="false" customHeight="false" outlineLevel="0" collapsed="false">
      <c r="A233" s="7" t="s">
        <v>295</v>
      </c>
      <c r="B233" s="7" t="s">
        <v>63</v>
      </c>
      <c r="C233" s="7" t="n">
        <v>77960.5</v>
      </c>
      <c r="D233" s="7" t="n">
        <v>77920.5</v>
      </c>
      <c r="E233" s="7" t="n">
        <v>0.0005133437285438</v>
      </c>
      <c r="F233" s="7" t="s">
        <v>59</v>
      </c>
      <c r="G233" s="7" t="s">
        <v>444</v>
      </c>
      <c r="H233" s="7" t="s">
        <v>66</v>
      </c>
      <c r="I233" s="32" t="b">
        <f aca="false">TRUE()</f>
        <v>1</v>
      </c>
      <c r="J233" s="32" t="b">
        <f aca="false">FALSE()</f>
        <v>0</v>
      </c>
      <c r="K233" s="32" t="b">
        <f aca="false">FALSE()</f>
        <v>0</v>
      </c>
      <c r="L233" s="7" t="s">
        <v>445</v>
      </c>
      <c r="M233" s="7" t="s">
        <v>446</v>
      </c>
      <c r="N233" s="7" t="s">
        <v>521</v>
      </c>
      <c r="O233" s="7" t="n">
        <v>78077.11</v>
      </c>
      <c r="P233" s="7" t="n">
        <v>77843.56</v>
      </c>
      <c r="Q233" s="7" t="n">
        <v>-121.75</v>
      </c>
      <c r="R233" s="7" t="s">
        <v>70</v>
      </c>
    </row>
    <row r="234" customFormat="false" ht="15" hidden="false" customHeight="false" outlineLevel="0" collapsed="false">
      <c r="A234" s="7" t="s">
        <v>295</v>
      </c>
      <c r="B234" s="7" t="s">
        <v>64</v>
      </c>
      <c r="C234" s="7" t="n">
        <v>77953.2</v>
      </c>
      <c r="D234" s="7" t="n">
        <v>77825.1</v>
      </c>
      <c r="E234" s="7" t="n">
        <v>0.0016459985274672</v>
      </c>
      <c r="F234" s="7" t="s">
        <v>60</v>
      </c>
      <c r="G234" s="7" t="s">
        <v>459</v>
      </c>
      <c r="H234" s="7" t="s">
        <v>66</v>
      </c>
      <c r="I234" s="32" t="b">
        <f aca="false">FALSE()</f>
        <v>0</v>
      </c>
      <c r="J234" s="32" t="b">
        <f aca="false">TRUE()</f>
        <v>1</v>
      </c>
      <c r="K234" s="32" t="b">
        <f aca="false">FALSE()</f>
        <v>0</v>
      </c>
      <c r="L234" s="7" t="s">
        <v>445</v>
      </c>
      <c r="M234" s="7" t="s">
        <v>446</v>
      </c>
      <c r="N234" s="7" t="s">
        <v>460</v>
      </c>
      <c r="O234" s="7" t="n">
        <v>77955.59</v>
      </c>
      <c r="P234" s="7" t="n">
        <v>77474.89</v>
      </c>
      <c r="Q234" s="7" t="n">
        <v>23.52</v>
      </c>
      <c r="R234" s="7" t="s">
        <v>69</v>
      </c>
    </row>
    <row r="235" customFormat="false" ht="15" hidden="false" customHeight="false" outlineLevel="0" collapsed="false">
      <c r="A235" s="7" t="s">
        <v>296</v>
      </c>
      <c r="B235" s="7" t="s">
        <v>63</v>
      </c>
      <c r="C235" s="7" t="n">
        <v>77647.6</v>
      </c>
      <c r="D235" s="7" t="n">
        <v>77534.1</v>
      </c>
      <c r="E235" s="7" t="n">
        <v>0.0014638720253411</v>
      </c>
      <c r="F235" s="7" t="s">
        <v>60</v>
      </c>
      <c r="G235" s="7" t="s">
        <v>448</v>
      </c>
      <c r="H235" s="7" t="s">
        <v>67</v>
      </c>
      <c r="I235" s="32" t="b">
        <f aca="false">FALSE()</f>
        <v>0</v>
      </c>
      <c r="J235" s="32" t="b">
        <f aca="false">TRUE()</f>
        <v>1</v>
      </c>
      <c r="K235" s="32" t="b">
        <f aca="false">FALSE()</f>
        <v>0</v>
      </c>
      <c r="L235" s="7" t="s">
        <v>445</v>
      </c>
      <c r="M235" s="7" t="s">
        <v>446</v>
      </c>
      <c r="N235" s="7" t="s">
        <v>472</v>
      </c>
      <c r="O235" s="7" t="n">
        <v>77541.19</v>
      </c>
      <c r="P235" s="7" t="n">
        <v>77997.01</v>
      </c>
      <c r="Q235" s="7" t="n">
        <v>-41.1</v>
      </c>
      <c r="R235" s="7" t="s">
        <v>71</v>
      </c>
    </row>
    <row r="236" customFormat="false" ht="15" hidden="false" customHeight="false" outlineLevel="0" collapsed="false">
      <c r="A236" s="7" t="s">
        <v>296</v>
      </c>
      <c r="B236" s="7" t="s">
        <v>64</v>
      </c>
      <c r="C236" s="7" t="n">
        <v>77930.3</v>
      </c>
      <c r="D236" s="7" t="n">
        <v>77581.7</v>
      </c>
      <c r="E236" s="7" t="n">
        <v>0.004493327679079</v>
      </c>
      <c r="F236" s="7" t="s">
        <v>450</v>
      </c>
      <c r="G236" s="7" t="s">
        <v>451</v>
      </c>
      <c r="H236" s="7" t="s">
        <v>450</v>
      </c>
      <c r="I236" s="32" t="b">
        <f aca="false">FALSE()</f>
        <v>0</v>
      </c>
      <c r="J236" s="32" t="b">
        <f aca="false">FALSE()</f>
        <v>0</v>
      </c>
      <c r="K236" s="32" t="b">
        <f aca="false">FALSE()</f>
        <v>0</v>
      </c>
      <c r="L236" s="7" t="s">
        <v>445</v>
      </c>
      <c r="M236" s="7" t="s">
        <v>452</v>
      </c>
      <c r="N236" s="7" t="s">
        <v>453</v>
      </c>
      <c r="O236" s="7"/>
      <c r="P236" s="7"/>
      <c r="Q236" s="7"/>
      <c r="R236" s="7"/>
    </row>
    <row r="237" customFormat="false" ht="15" hidden="false" customHeight="false" outlineLevel="0" collapsed="false">
      <c r="A237" s="7" t="s">
        <v>297</v>
      </c>
      <c r="B237" s="7" t="s">
        <v>63</v>
      </c>
      <c r="C237" s="7" t="n">
        <v>76846.2</v>
      </c>
      <c r="D237" s="7" t="n">
        <v>76588</v>
      </c>
      <c r="E237" s="7" t="n">
        <v>0.0033712853188488</v>
      </c>
      <c r="F237" s="7" t="s">
        <v>60</v>
      </c>
      <c r="G237" s="7" t="s">
        <v>448</v>
      </c>
      <c r="H237" s="7" t="s">
        <v>67</v>
      </c>
      <c r="I237" s="32" t="b">
        <f aca="false">FALSE()</f>
        <v>0</v>
      </c>
      <c r="J237" s="32" t="b">
        <f aca="false">TRUE()</f>
        <v>1</v>
      </c>
      <c r="K237" s="32" t="b">
        <f aca="false">FALSE()</f>
        <v>0</v>
      </c>
      <c r="L237" s="7" t="s">
        <v>445</v>
      </c>
      <c r="M237" s="7" t="s">
        <v>446</v>
      </c>
      <c r="N237" s="7" t="s">
        <v>476</v>
      </c>
      <c r="O237" s="7" t="n">
        <v>76782.04</v>
      </c>
      <c r="P237" s="7" t="n">
        <v>77192.01</v>
      </c>
      <c r="Q237" s="7" t="n">
        <v>19.96</v>
      </c>
      <c r="R237" s="7" t="s">
        <v>69</v>
      </c>
    </row>
    <row r="238" customFormat="false" ht="15" hidden="false" customHeight="false" outlineLevel="0" collapsed="false">
      <c r="A238" s="7" t="s">
        <v>297</v>
      </c>
      <c r="B238" s="7" t="s">
        <v>64</v>
      </c>
      <c r="C238" s="7" t="n">
        <v>76338.5</v>
      </c>
      <c r="D238" s="7" t="n">
        <v>76030</v>
      </c>
      <c r="E238" s="7" t="n">
        <v>0.0040576088386163</v>
      </c>
      <c r="F238" s="7" t="s">
        <v>60</v>
      </c>
      <c r="G238" s="7" t="s">
        <v>448</v>
      </c>
      <c r="H238" s="7" t="s">
        <v>67</v>
      </c>
      <c r="I238" s="32" t="b">
        <f aca="false">FALSE()</f>
        <v>0</v>
      </c>
      <c r="J238" s="32" t="b">
        <f aca="false">TRUE()</f>
        <v>1</v>
      </c>
      <c r="K238" s="32" t="b">
        <f aca="false">FALSE()</f>
        <v>0</v>
      </c>
      <c r="L238" s="7" t="s">
        <v>445</v>
      </c>
      <c r="M238" s="7" t="s">
        <v>446</v>
      </c>
      <c r="N238" s="7" t="s">
        <v>472</v>
      </c>
      <c r="O238" s="7" t="n">
        <v>76143.17</v>
      </c>
      <c r="P238" s="7" t="n">
        <v>76682.02</v>
      </c>
      <c r="Q238" s="7" t="n">
        <v>29.23</v>
      </c>
      <c r="R238" s="7" t="s">
        <v>69</v>
      </c>
    </row>
    <row r="239" customFormat="false" ht="15" hidden="false" customHeight="false" outlineLevel="0" collapsed="false">
      <c r="A239" s="7" t="s">
        <v>298</v>
      </c>
      <c r="B239" s="7" t="s">
        <v>63</v>
      </c>
      <c r="C239" s="7" t="n">
        <v>77140</v>
      </c>
      <c r="D239" s="7" t="n">
        <v>77012.2</v>
      </c>
      <c r="E239" s="7" t="n">
        <v>0.001659477329566</v>
      </c>
      <c r="F239" s="7" t="s">
        <v>450</v>
      </c>
      <c r="G239" s="7" t="s">
        <v>451</v>
      </c>
      <c r="H239" s="7" t="s">
        <v>450</v>
      </c>
      <c r="I239" s="32" t="b">
        <f aca="false">FALSE()</f>
        <v>0</v>
      </c>
      <c r="J239" s="32" t="b">
        <f aca="false">FALSE()</f>
        <v>0</v>
      </c>
      <c r="K239" s="32" t="b">
        <f aca="false">FALSE()</f>
        <v>0</v>
      </c>
      <c r="L239" s="7" t="s">
        <v>445</v>
      </c>
      <c r="M239" s="7" t="s">
        <v>452</v>
      </c>
      <c r="N239" s="7" t="s">
        <v>453</v>
      </c>
      <c r="O239" s="7"/>
      <c r="P239" s="7"/>
      <c r="Q239" s="7"/>
      <c r="R239" s="7"/>
    </row>
    <row r="240" customFormat="false" ht="15" hidden="false" customHeight="false" outlineLevel="0" collapsed="false">
      <c r="A240" s="7" t="s">
        <v>298</v>
      </c>
      <c r="B240" s="7" t="s">
        <v>64</v>
      </c>
      <c r="C240" s="7" t="n">
        <v>76897.6</v>
      </c>
      <c r="D240" s="7" t="n">
        <v>76529.9</v>
      </c>
      <c r="E240" s="7" t="n">
        <v>0.0048046580486843</v>
      </c>
      <c r="F240" s="7" t="s">
        <v>60</v>
      </c>
      <c r="G240" s="7" t="s">
        <v>459</v>
      </c>
      <c r="H240" s="7" t="s">
        <v>66</v>
      </c>
      <c r="I240" s="32" t="b">
        <f aca="false">FALSE()</f>
        <v>0</v>
      </c>
      <c r="J240" s="32" t="b">
        <f aca="false">TRUE()</f>
        <v>1</v>
      </c>
      <c r="K240" s="32" t="b">
        <f aca="false">FALSE()</f>
        <v>0</v>
      </c>
      <c r="L240" s="7" t="s">
        <v>445</v>
      </c>
      <c r="M240" s="7" t="s">
        <v>446</v>
      </c>
      <c r="N240" s="7" t="s">
        <v>465</v>
      </c>
      <c r="O240" s="7" t="n">
        <v>76763.95</v>
      </c>
      <c r="P240" s="7" t="n">
        <v>76185.52</v>
      </c>
      <c r="Q240" s="7" t="n">
        <v>-60.3</v>
      </c>
      <c r="R240" s="7" t="s">
        <v>70</v>
      </c>
    </row>
    <row r="241" customFormat="false" ht="15" hidden="false" customHeight="false" outlineLevel="0" collapsed="false">
      <c r="A241" s="7" t="s">
        <v>299</v>
      </c>
      <c r="B241" s="7" t="s">
        <v>63</v>
      </c>
      <c r="C241" s="7" t="n">
        <v>76047.8</v>
      </c>
      <c r="D241" s="7" t="n">
        <v>75852.6</v>
      </c>
      <c r="E241" s="7" t="n">
        <v>0.0025734121177124</v>
      </c>
      <c r="F241" s="7" t="s">
        <v>59</v>
      </c>
      <c r="G241" s="7" t="s">
        <v>444</v>
      </c>
      <c r="H241" s="7" t="s">
        <v>66</v>
      </c>
      <c r="I241" s="32" t="b">
        <f aca="false">TRUE()</f>
        <v>1</v>
      </c>
      <c r="J241" s="32" t="b">
        <f aca="false">FALSE()</f>
        <v>0</v>
      </c>
      <c r="K241" s="32" t="b">
        <f aca="false">FALSE()</f>
        <v>0</v>
      </c>
      <c r="L241" s="7" t="s">
        <v>445</v>
      </c>
      <c r="M241" s="7" t="s">
        <v>446</v>
      </c>
      <c r="N241" s="7" t="s">
        <v>522</v>
      </c>
      <c r="O241" s="7" t="n">
        <v>76145.13</v>
      </c>
      <c r="P241" s="7" t="n">
        <v>75933.73</v>
      </c>
      <c r="Q241" s="7" t="n">
        <v>7.27</v>
      </c>
      <c r="R241" s="7" t="s">
        <v>69</v>
      </c>
    </row>
    <row r="242" customFormat="false" ht="15" hidden="false" customHeight="false" outlineLevel="0" collapsed="false">
      <c r="A242" s="7" t="s">
        <v>299</v>
      </c>
      <c r="B242" s="7" t="s">
        <v>64</v>
      </c>
      <c r="C242" s="7" t="n">
        <v>76599.9</v>
      </c>
      <c r="D242" s="7" t="n">
        <v>76066.6</v>
      </c>
      <c r="E242" s="7" t="n">
        <v>0.0070109614469423</v>
      </c>
      <c r="F242" s="7" t="s">
        <v>60</v>
      </c>
      <c r="G242" s="7" t="s">
        <v>448</v>
      </c>
      <c r="H242" s="7" t="s">
        <v>67</v>
      </c>
      <c r="I242" s="32" t="b">
        <f aca="false">FALSE()</f>
        <v>0</v>
      </c>
      <c r="J242" s="32" t="b">
        <f aca="false">TRUE()</f>
        <v>1</v>
      </c>
      <c r="K242" s="32" t="b">
        <f aca="false">FALSE()</f>
        <v>0</v>
      </c>
      <c r="L242" s="7" t="s">
        <v>445</v>
      </c>
      <c r="M242" s="7" t="s">
        <v>446</v>
      </c>
      <c r="N242" s="7" t="s">
        <v>472</v>
      </c>
      <c r="O242" s="7" t="n">
        <v>76355.13</v>
      </c>
      <c r="P242" s="7" t="n">
        <v>76944.6</v>
      </c>
      <c r="Q242" s="7" t="n">
        <v>5.06</v>
      </c>
      <c r="R242" s="7" t="s">
        <v>69</v>
      </c>
    </row>
    <row r="243" customFormat="false" ht="15" hidden="false" customHeight="false" outlineLevel="0" collapsed="false">
      <c r="A243" s="7" t="s">
        <v>300</v>
      </c>
      <c r="B243" s="7" t="s">
        <v>63</v>
      </c>
      <c r="C243" s="7" t="n">
        <v>77020</v>
      </c>
      <c r="D243" s="7" t="n">
        <v>76922.4</v>
      </c>
      <c r="E243" s="7" t="n">
        <v>0.0012688111655383</v>
      </c>
      <c r="F243" s="7" t="s">
        <v>59</v>
      </c>
      <c r="G243" s="7" t="s">
        <v>444</v>
      </c>
      <c r="H243" s="7" t="s">
        <v>66</v>
      </c>
      <c r="I243" s="32" t="b">
        <f aca="false">TRUE()</f>
        <v>1</v>
      </c>
      <c r="J243" s="32" t="b">
        <f aca="false">FALSE()</f>
        <v>0</v>
      </c>
      <c r="K243" s="32" t="b">
        <f aca="false">FALSE()</f>
        <v>0</v>
      </c>
      <c r="L243" s="7" t="s">
        <v>445</v>
      </c>
      <c r="M243" s="7" t="s">
        <v>446</v>
      </c>
      <c r="N243" s="7" t="s">
        <v>523</v>
      </c>
      <c r="O243" s="7" t="n">
        <v>77115.32</v>
      </c>
      <c r="P243" s="7" t="n">
        <v>76904.47</v>
      </c>
      <c r="Q243" s="7" t="n">
        <v>54.01</v>
      </c>
      <c r="R243" s="7" t="s">
        <v>69</v>
      </c>
    </row>
    <row r="244" customFormat="false" ht="15" hidden="false" customHeight="false" outlineLevel="0" collapsed="false">
      <c r="A244" s="7" t="s">
        <v>300</v>
      </c>
      <c r="B244" s="7" t="s">
        <v>64</v>
      </c>
      <c r="C244" s="7" t="n">
        <v>78499</v>
      </c>
      <c r="D244" s="7" t="n">
        <v>78071.4</v>
      </c>
      <c r="E244" s="7" t="n">
        <v>0.0054770376860156</v>
      </c>
      <c r="F244" s="7" t="s">
        <v>450</v>
      </c>
      <c r="G244" s="7" t="s">
        <v>451</v>
      </c>
      <c r="H244" s="7" t="s">
        <v>450</v>
      </c>
      <c r="I244" s="32" t="b">
        <f aca="false">FALSE()</f>
        <v>0</v>
      </c>
      <c r="J244" s="32" t="b">
        <f aca="false">FALSE()</f>
        <v>0</v>
      </c>
      <c r="K244" s="32" t="b">
        <f aca="false">FALSE()</f>
        <v>0</v>
      </c>
      <c r="L244" s="7" t="s">
        <v>445</v>
      </c>
      <c r="M244" s="7" t="s">
        <v>452</v>
      </c>
      <c r="N244" s="7" t="s">
        <v>453</v>
      </c>
      <c r="O244" s="7"/>
      <c r="P244" s="7"/>
      <c r="Q244" s="7"/>
      <c r="R244" s="7"/>
    </row>
    <row r="245" customFormat="false" ht="15" hidden="false" customHeight="false" outlineLevel="0" collapsed="false">
      <c r="A245" s="7" t="s">
        <v>301</v>
      </c>
      <c r="B245" s="7" t="s">
        <v>63</v>
      </c>
      <c r="C245" s="7" t="n">
        <v>78290.6</v>
      </c>
      <c r="D245" s="7" t="n">
        <v>78174</v>
      </c>
      <c r="E245" s="7" t="n">
        <v>0.0014915445032876</v>
      </c>
      <c r="F245" s="7" t="s">
        <v>60</v>
      </c>
      <c r="G245" s="7" t="s">
        <v>459</v>
      </c>
      <c r="H245" s="7" t="s">
        <v>66</v>
      </c>
      <c r="I245" s="32" t="b">
        <f aca="false">FALSE()</f>
        <v>0</v>
      </c>
      <c r="J245" s="32" t="b">
        <f aca="false">TRUE()</f>
        <v>1</v>
      </c>
      <c r="K245" s="32" t="b">
        <f aca="false">FALSE()</f>
        <v>0</v>
      </c>
      <c r="L245" s="7" t="s">
        <v>445</v>
      </c>
      <c r="M245" s="7" t="s">
        <v>446</v>
      </c>
      <c r="N245" s="7" t="s">
        <v>510</v>
      </c>
      <c r="O245" s="7" t="n">
        <v>78233.64</v>
      </c>
      <c r="P245" s="7" t="n">
        <v>77822.22</v>
      </c>
      <c r="Q245" s="7" t="n">
        <v>0.74</v>
      </c>
      <c r="R245" s="7" t="s">
        <v>71</v>
      </c>
    </row>
    <row r="246" customFormat="false" ht="15" hidden="false" customHeight="false" outlineLevel="0" collapsed="false">
      <c r="A246" s="7" t="s">
        <v>301</v>
      </c>
      <c r="B246" s="7" t="s">
        <v>64</v>
      </c>
      <c r="C246" s="7" t="n">
        <v>78327.9</v>
      </c>
      <c r="D246" s="7" t="n">
        <v>78262.3</v>
      </c>
      <c r="E246" s="7" t="n">
        <v>0.0008382069016626</v>
      </c>
      <c r="F246" s="7" t="s">
        <v>450</v>
      </c>
      <c r="G246" s="7" t="s">
        <v>451</v>
      </c>
      <c r="H246" s="7" t="s">
        <v>450</v>
      </c>
      <c r="I246" s="32" t="b">
        <f aca="false">FALSE()</f>
        <v>0</v>
      </c>
      <c r="J246" s="32" t="b">
        <f aca="false">FALSE()</f>
        <v>0</v>
      </c>
      <c r="K246" s="32" t="b">
        <f aca="false">FALSE()</f>
        <v>0</v>
      </c>
      <c r="L246" s="7" t="s">
        <v>445</v>
      </c>
      <c r="M246" s="7" t="s">
        <v>452</v>
      </c>
      <c r="N246" s="7" t="s">
        <v>453</v>
      </c>
      <c r="O246" s="7"/>
      <c r="P246" s="7"/>
      <c r="Q246" s="7"/>
      <c r="R246" s="7"/>
    </row>
    <row r="247" customFormat="false" ht="15" hidden="false" customHeight="false" outlineLevel="0" collapsed="false">
      <c r="A247" s="7" t="s">
        <v>524</v>
      </c>
      <c r="B247" s="7" t="s">
        <v>63</v>
      </c>
      <c r="C247" s="7" t="n">
        <v>78404.9</v>
      </c>
      <c r="D247" s="7" t="n">
        <v>78328</v>
      </c>
      <c r="E247" s="7" t="n">
        <v>0.0009817689715043</v>
      </c>
      <c r="F247" s="7" t="s">
        <v>450</v>
      </c>
      <c r="G247" s="7" t="s">
        <v>451</v>
      </c>
      <c r="H247" s="7" t="s">
        <v>450</v>
      </c>
      <c r="I247" s="32" t="b">
        <f aca="false">FALSE()</f>
        <v>0</v>
      </c>
      <c r="J247" s="32" t="b">
        <f aca="false">FALSE()</f>
        <v>0</v>
      </c>
      <c r="K247" s="32" t="b">
        <f aca="false">FALSE()</f>
        <v>0</v>
      </c>
      <c r="L247" s="7" t="s">
        <v>445</v>
      </c>
      <c r="M247" s="7" t="s">
        <v>452</v>
      </c>
      <c r="N247" s="7" t="s">
        <v>453</v>
      </c>
      <c r="O247" s="7"/>
      <c r="P247" s="7"/>
      <c r="Q247" s="7"/>
      <c r="R247" s="7"/>
    </row>
    <row r="248" customFormat="false" ht="15" hidden="false" customHeight="false" outlineLevel="0" collapsed="false">
      <c r="A248" s="7" t="s">
        <v>524</v>
      </c>
      <c r="B248" s="7" t="s">
        <v>64</v>
      </c>
      <c r="C248" s="7" t="n">
        <v>78670</v>
      </c>
      <c r="D248" s="7" t="n">
        <v>78555.5</v>
      </c>
      <c r="E248" s="7" t="n">
        <v>0.0014575682161019</v>
      </c>
      <c r="F248" s="7" t="s">
        <v>450</v>
      </c>
      <c r="G248" s="7" t="s">
        <v>451</v>
      </c>
      <c r="H248" s="7" t="s">
        <v>450</v>
      </c>
      <c r="I248" s="32" t="b">
        <f aca="false">FALSE()</f>
        <v>0</v>
      </c>
      <c r="J248" s="32" t="b">
        <f aca="false">FALSE()</f>
        <v>0</v>
      </c>
      <c r="K248" s="32" t="b">
        <f aca="false">FALSE()</f>
        <v>0</v>
      </c>
      <c r="L248" s="7" t="s">
        <v>445</v>
      </c>
      <c r="M248" s="7" t="s">
        <v>452</v>
      </c>
      <c r="N248" s="7" t="s">
        <v>453</v>
      </c>
      <c r="O248" s="7"/>
      <c r="P248" s="7"/>
      <c r="Q248" s="7"/>
      <c r="R248" s="7"/>
    </row>
    <row r="249" customFormat="false" ht="15" hidden="false" customHeight="false" outlineLevel="0" collapsed="false">
      <c r="A249" s="7" t="s">
        <v>302</v>
      </c>
      <c r="B249" s="7" t="s">
        <v>63</v>
      </c>
      <c r="C249" s="7" t="n">
        <v>79835.2</v>
      </c>
      <c r="D249" s="7" t="n">
        <v>79645.3</v>
      </c>
      <c r="E249" s="7" t="n">
        <v>0.0023843214853857</v>
      </c>
      <c r="F249" s="7" t="s">
        <v>60</v>
      </c>
      <c r="G249" s="7" t="s">
        <v>448</v>
      </c>
      <c r="H249" s="7" t="s">
        <v>67</v>
      </c>
      <c r="I249" s="32" t="b">
        <f aca="false">FALSE()</f>
        <v>0</v>
      </c>
      <c r="J249" s="32" t="b">
        <f aca="false">TRUE()</f>
        <v>1</v>
      </c>
      <c r="K249" s="32" t="b">
        <f aca="false">FALSE()</f>
        <v>0</v>
      </c>
      <c r="L249" s="7" t="s">
        <v>445</v>
      </c>
      <c r="M249" s="7" t="s">
        <v>446</v>
      </c>
      <c r="N249" s="7" t="s">
        <v>472</v>
      </c>
      <c r="O249" s="7" t="n">
        <v>79647.47</v>
      </c>
      <c r="P249" s="7" t="n">
        <v>80194.46</v>
      </c>
      <c r="Q249" s="7" t="n">
        <v>88.94</v>
      </c>
      <c r="R249" s="7" t="s">
        <v>69</v>
      </c>
    </row>
    <row r="250" customFormat="false" ht="15" hidden="false" customHeight="false" outlineLevel="0" collapsed="false">
      <c r="A250" s="7" t="s">
        <v>302</v>
      </c>
      <c r="B250" s="7" t="s">
        <v>64</v>
      </c>
      <c r="C250" s="7" t="n">
        <v>79099.7</v>
      </c>
      <c r="D250" s="7" t="n">
        <v>78802</v>
      </c>
      <c r="E250" s="7" t="n">
        <v>0.0037778228978959</v>
      </c>
      <c r="F250" s="7" t="s">
        <v>450</v>
      </c>
      <c r="G250" s="7" t="s">
        <v>451</v>
      </c>
      <c r="H250" s="7" t="s">
        <v>450</v>
      </c>
      <c r="I250" s="32" t="b">
        <f aca="false">FALSE()</f>
        <v>0</v>
      </c>
      <c r="J250" s="32" t="b">
        <f aca="false">FALSE()</f>
        <v>0</v>
      </c>
      <c r="K250" s="32" t="b">
        <f aca="false">FALSE()</f>
        <v>0</v>
      </c>
      <c r="L250" s="7" t="s">
        <v>445</v>
      </c>
      <c r="M250" s="7" t="s">
        <v>452</v>
      </c>
      <c r="N250" s="7" t="s">
        <v>453</v>
      </c>
      <c r="O250" s="7"/>
      <c r="P250" s="7"/>
      <c r="Q250" s="7"/>
      <c r="R250" s="7"/>
    </row>
    <row r="251" customFormat="false" ht="15" hidden="false" customHeight="false" outlineLevel="0" collapsed="false">
      <c r="A251" s="7" t="s">
        <v>303</v>
      </c>
      <c r="B251" s="7" t="s">
        <v>63</v>
      </c>
      <c r="C251" s="7" t="n">
        <v>81111</v>
      </c>
      <c r="D251" s="7" t="n">
        <v>80970.9</v>
      </c>
      <c r="E251" s="7" t="n">
        <v>0.0017302512384079</v>
      </c>
      <c r="F251" s="7" t="s">
        <v>59</v>
      </c>
      <c r="G251" s="7" t="s">
        <v>444</v>
      </c>
      <c r="H251" s="7" t="s">
        <v>67</v>
      </c>
      <c r="I251" s="32" t="b">
        <f aca="false">TRUE()</f>
        <v>1</v>
      </c>
      <c r="J251" s="32" t="b">
        <f aca="false">FALSE()</f>
        <v>0</v>
      </c>
      <c r="K251" s="32" t="b">
        <f aca="false">FALSE()</f>
        <v>0</v>
      </c>
      <c r="L251" s="7" t="s">
        <v>445</v>
      </c>
      <c r="M251" s="7" t="s">
        <v>446</v>
      </c>
      <c r="N251" s="7" t="s">
        <v>525</v>
      </c>
      <c r="O251" s="7" t="n">
        <v>80799.64</v>
      </c>
      <c r="P251" s="7" t="n">
        <v>81092.36</v>
      </c>
      <c r="Q251" s="7" t="n">
        <v>12.9</v>
      </c>
      <c r="R251" s="7" t="s">
        <v>69</v>
      </c>
    </row>
    <row r="252" customFormat="false" ht="15" hidden="false" customHeight="false" outlineLevel="0" collapsed="false">
      <c r="A252" s="7" t="s">
        <v>303</v>
      </c>
      <c r="B252" s="7" t="s">
        <v>64</v>
      </c>
      <c r="C252" s="7" t="n">
        <v>81492.6</v>
      </c>
      <c r="D252" s="7" t="n">
        <v>81151.1</v>
      </c>
      <c r="E252" s="7" t="n">
        <v>0.0042081992727147</v>
      </c>
      <c r="F252" s="7" t="s">
        <v>60</v>
      </c>
      <c r="G252" s="7" t="s">
        <v>448</v>
      </c>
      <c r="H252" s="7" t="s">
        <v>67</v>
      </c>
      <c r="I252" s="32" t="b">
        <f aca="false">FALSE()</f>
        <v>0</v>
      </c>
      <c r="J252" s="32" t="b">
        <f aca="false">TRUE()</f>
        <v>1</v>
      </c>
      <c r="K252" s="32" t="b">
        <f aca="false">FALSE()</f>
        <v>0</v>
      </c>
      <c r="L252" s="7" t="s">
        <v>445</v>
      </c>
      <c r="M252" s="7" t="s">
        <v>446</v>
      </c>
      <c r="N252" s="7" t="s">
        <v>469</v>
      </c>
      <c r="O252" s="7" t="n">
        <v>81262.04</v>
      </c>
      <c r="P252" s="7" t="n">
        <v>81859.32</v>
      </c>
      <c r="Q252" s="7" t="n">
        <v>9.71</v>
      </c>
      <c r="R252" s="7" t="s">
        <v>69</v>
      </c>
    </row>
    <row r="253" customFormat="false" ht="15" hidden="false" customHeight="false" outlineLevel="0" collapsed="false">
      <c r="A253" s="7" t="s">
        <v>526</v>
      </c>
      <c r="B253" s="7" t="s">
        <v>63</v>
      </c>
      <c r="C253" s="7" t="n">
        <v>81505.1</v>
      </c>
      <c r="D253" s="7" t="n">
        <v>81360</v>
      </c>
      <c r="E253" s="7" t="n">
        <v>0.0017834316617503</v>
      </c>
      <c r="F253" s="7" t="s">
        <v>450</v>
      </c>
      <c r="G253" s="7" t="s">
        <v>451</v>
      </c>
      <c r="H253" s="7" t="s">
        <v>450</v>
      </c>
      <c r="I253" s="32" t="b">
        <f aca="false">FALSE()</f>
        <v>0</v>
      </c>
      <c r="J253" s="32" t="b">
        <f aca="false">FALSE()</f>
        <v>0</v>
      </c>
      <c r="K253" s="32" t="b">
        <f aca="false">FALSE()</f>
        <v>0</v>
      </c>
      <c r="L253" s="7" t="s">
        <v>445</v>
      </c>
      <c r="M253" s="7" t="s">
        <v>452</v>
      </c>
      <c r="N253" s="7" t="s">
        <v>453</v>
      </c>
      <c r="O253" s="7"/>
      <c r="P253" s="7"/>
      <c r="Q253" s="7"/>
      <c r="R253" s="7"/>
    </row>
    <row r="254" customFormat="false" ht="15" hidden="false" customHeight="false" outlineLevel="0" collapsed="false">
      <c r="A254" s="7" t="s">
        <v>526</v>
      </c>
      <c r="B254" s="7" t="s">
        <v>64</v>
      </c>
      <c r="C254" s="7" t="n">
        <v>82020</v>
      </c>
      <c r="D254" s="7" t="n">
        <v>81727.2</v>
      </c>
      <c r="E254" s="7" t="n">
        <v>0.0035826505741051</v>
      </c>
      <c r="F254" s="7" t="s">
        <v>450</v>
      </c>
      <c r="G254" s="7" t="s">
        <v>451</v>
      </c>
      <c r="H254" s="7" t="s">
        <v>450</v>
      </c>
      <c r="I254" s="32" t="b">
        <f aca="false">FALSE()</f>
        <v>0</v>
      </c>
      <c r="J254" s="32" t="b">
        <f aca="false">FALSE()</f>
        <v>0</v>
      </c>
      <c r="K254" s="32" t="b">
        <f aca="false">FALSE()</f>
        <v>0</v>
      </c>
      <c r="L254" s="7" t="s">
        <v>445</v>
      </c>
      <c r="M254" s="7" t="s">
        <v>452</v>
      </c>
      <c r="N254" s="7" t="s">
        <v>453</v>
      </c>
      <c r="O254" s="7"/>
      <c r="P254" s="7"/>
      <c r="Q254" s="7"/>
      <c r="R254" s="7"/>
    </row>
    <row r="255" customFormat="false" ht="15" hidden="false" customHeight="false" outlineLevel="0" collapsed="false">
      <c r="A255" s="7" t="s">
        <v>527</v>
      </c>
      <c r="B255" s="7" t="s">
        <v>63</v>
      </c>
      <c r="C255" s="7" t="n">
        <v>81672</v>
      </c>
      <c r="D255" s="7" t="n">
        <v>81508</v>
      </c>
      <c r="E255" s="7" t="n">
        <v>0.0020120724346076</v>
      </c>
      <c r="F255" s="7" t="s">
        <v>450</v>
      </c>
      <c r="G255" s="7" t="s">
        <v>451</v>
      </c>
      <c r="H255" s="7" t="s">
        <v>450</v>
      </c>
      <c r="I255" s="32" t="b">
        <f aca="false">FALSE()</f>
        <v>0</v>
      </c>
      <c r="J255" s="32" t="b">
        <f aca="false">FALSE()</f>
        <v>0</v>
      </c>
      <c r="K255" s="32" t="b">
        <f aca="false">FALSE()</f>
        <v>0</v>
      </c>
      <c r="L255" s="7" t="s">
        <v>445</v>
      </c>
      <c r="M255" s="7" t="s">
        <v>452</v>
      </c>
      <c r="N255" s="7" t="s">
        <v>453</v>
      </c>
      <c r="O255" s="7"/>
      <c r="P255" s="7"/>
      <c r="Q255" s="7"/>
      <c r="R255" s="7"/>
    </row>
    <row r="256" customFormat="false" ht="15" hidden="false" customHeight="false" outlineLevel="0" collapsed="false">
      <c r="A256" s="7" t="s">
        <v>527</v>
      </c>
      <c r="B256" s="7" t="s">
        <v>64</v>
      </c>
      <c r="C256" s="7" t="n">
        <v>80927.2</v>
      </c>
      <c r="D256" s="7" t="n">
        <v>80516</v>
      </c>
      <c r="E256" s="7" t="n">
        <v>0.0051070594664414</v>
      </c>
      <c r="F256" s="7" t="s">
        <v>450</v>
      </c>
      <c r="G256" s="7" t="s">
        <v>451</v>
      </c>
      <c r="H256" s="7" t="s">
        <v>450</v>
      </c>
      <c r="I256" s="32" t="b">
        <f aca="false">FALSE()</f>
        <v>0</v>
      </c>
      <c r="J256" s="32" t="b">
        <f aca="false">FALSE()</f>
        <v>0</v>
      </c>
      <c r="K256" s="32" t="b">
        <f aca="false">FALSE()</f>
        <v>0</v>
      </c>
      <c r="L256" s="7" t="s">
        <v>445</v>
      </c>
      <c r="M256" s="7" t="s">
        <v>452</v>
      </c>
      <c r="N256" s="7" t="s">
        <v>453</v>
      </c>
      <c r="O256" s="7"/>
      <c r="P256" s="7"/>
      <c r="Q256" s="7"/>
      <c r="R256" s="7"/>
    </row>
    <row r="257" customFormat="false" ht="15" hidden="false" customHeight="false" outlineLevel="0" collapsed="false">
      <c r="A257" s="7" t="s">
        <v>304</v>
      </c>
      <c r="B257" s="7" t="s">
        <v>63</v>
      </c>
      <c r="C257" s="7" t="n">
        <v>79561.6</v>
      </c>
      <c r="D257" s="7" t="n">
        <v>79318.5</v>
      </c>
      <c r="E257" s="7" t="n">
        <v>0.0030648587656096</v>
      </c>
      <c r="F257" s="7" t="s">
        <v>450</v>
      </c>
      <c r="G257" s="7" t="s">
        <v>451</v>
      </c>
      <c r="H257" s="7" t="s">
        <v>450</v>
      </c>
      <c r="I257" s="32" t="b">
        <f aca="false">FALSE()</f>
        <v>0</v>
      </c>
      <c r="J257" s="32" t="b">
        <f aca="false">FALSE()</f>
        <v>0</v>
      </c>
      <c r="K257" s="32" t="b">
        <f aca="false">FALSE()</f>
        <v>0</v>
      </c>
      <c r="L257" s="7" t="s">
        <v>445</v>
      </c>
      <c r="M257" s="7" t="s">
        <v>452</v>
      </c>
      <c r="N257" s="7" t="s">
        <v>453</v>
      </c>
      <c r="O257" s="7"/>
      <c r="P257" s="7"/>
      <c r="Q257" s="7"/>
      <c r="R257" s="7"/>
    </row>
    <row r="258" customFormat="false" ht="15" hidden="false" customHeight="false" outlineLevel="0" collapsed="false">
      <c r="A258" s="7" t="s">
        <v>304</v>
      </c>
      <c r="B258" s="7" t="s">
        <v>64</v>
      </c>
      <c r="C258" s="7" t="n">
        <v>79799.7</v>
      </c>
      <c r="D258" s="7" t="n">
        <v>79524.2</v>
      </c>
      <c r="E258" s="7" t="n">
        <v>0.0034643542468833</v>
      </c>
      <c r="F258" s="7" t="s">
        <v>60</v>
      </c>
      <c r="G258" s="7" t="s">
        <v>459</v>
      </c>
      <c r="H258" s="7" t="s">
        <v>66</v>
      </c>
      <c r="I258" s="32" t="b">
        <f aca="false">FALSE()</f>
        <v>0</v>
      </c>
      <c r="J258" s="32" t="b">
        <f aca="false">TRUE()</f>
        <v>1</v>
      </c>
      <c r="K258" s="32" t="b">
        <f aca="false">FALSE()</f>
        <v>0</v>
      </c>
      <c r="L258" s="7" t="s">
        <v>445</v>
      </c>
      <c r="M258" s="7" t="s">
        <v>446</v>
      </c>
      <c r="N258" s="7" t="s">
        <v>465</v>
      </c>
      <c r="O258" s="7" t="n">
        <v>79628.22</v>
      </c>
      <c r="P258" s="7" t="n">
        <v>79166.34</v>
      </c>
      <c r="Q258" s="7" t="n">
        <v>60.85</v>
      </c>
      <c r="R258" s="7" t="s">
        <v>69</v>
      </c>
    </row>
    <row r="259" customFormat="false" ht="15" hidden="false" customHeight="false" outlineLevel="0" collapsed="false">
      <c r="A259" s="7" t="s">
        <v>305</v>
      </c>
      <c r="B259" s="7" t="s">
        <v>63</v>
      </c>
      <c r="C259" s="7" t="n">
        <v>80240</v>
      </c>
      <c r="D259" s="7" t="n">
        <v>80142.6</v>
      </c>
      <c r="E259" s="7" t="n">
        <v>0.0012153336677371</v>
      </c>
      <c r="F259" s="7" t="s">
        <v>60</v>
      </c>
      <c r="G259" s="7" t="s">
        <v>459</v>
      </c>
      <c r="H259" s="7" t="s">
        <v>66</v>
      </c>
      <c r="I259" s="32" t="b">
        <f aca="false">FALSE()</f>
        <v>0</v>
      </c>
      <c r="J259" s="32" t="b">
        <f aca="false">TRUE()</f>
        <v>1</v>
      </c>
      <c r="K259" s="32" t="b">
        <f aca="false">FALSE()</f>
        <v>0</v>
      </c>
      <c r="L259" s="7" t="s">
        <v>445</v>
      </c>
      <c r="M259" s="7" t="s">
        <v>446</v>
      </c>
      <c r="N259" s="7" t="s">
        <v>460</v>
      </c>
      <c r="O259" s="7" t="n">
        <v>80197.64</v>
      </c>
      <c r="P259" s="7" t="n">
        <v>79781.96</v>
      </c>
      <c r="Q259" s="7" t="n">
        <v>9.3</v>
      </c>
      <c r="R259" s="7" t="s">
        <v>69</v>
      </c>
    </row>
    <row r="260" customFormat="false" ht="15" hidden="false" customHeight="false" outlineLevel="0" collapsed="false">
      <c r="A260" s="7" t="s">
        <v>305</v>
      </c>
      <c r="B260" s="7" t="s">
        <v>64</v>
      </c>
      <c r="C260" s="7" t="n">
        <v>80351.8</v>
      </c>
      <c r="D260" s="7" t="n">
        <v>80274.7</v>
      </c>
      <c r="E260" s="7" t="n">
        <v>0.000960452047781</v>
      </c>
      <c r="F260" s="7" t="s">
        <v>450</v>
      </c>
      <c r="G260" s="7" t="s">
        <v>451</v>
      </c>
      <c r="H260" s="7" t="s">
        <v>450</v>
      </c>
      <c r="I260" s="32" t="b">
        <f aca="false">FALSE()</f>
        <v>0</v>
      </c>
      <c r="J260" s="32" t="b">
        <f aca="false">FALSE()</f>
        <v>0</v>
      </c>
      <c r="K260" s="32" t="b">
        <f aca="false">FALSE()</f>
        <v>0</v>
      </c>
      <c r="L260" s="7" t="s">
        <v>445</v>
      </c>
      <c r="M260" s="7" t="s">
        <v>452</v>
      </c>
      <c r="N260" s="7" t="s">
        <v>453</v>
      </c>
      <c r="O260" s="7"/>
      <c r="P260" s="7"/>
      <c r="Q260" s="7"/>
      <c r="R260" s="7"/>
    </row>
    <row r="261" customFormat="false" ht="15" hidden="false" customHeight="false" outlineLevel="0" collapsed="false">
      <c r="A261" s="7" t="s">
        <v>306</v>
      </c>
      <c r="B261" s="7" t="s">
        <v>63</v>
      </c>
      <c r="C261" s="7" t="n">
        <v>80756.1</v>
      </c>
      <c r="D261" s="7" t="n">
        <v>80725.3</v>
      </c>
      <c r="E261" s="7" t="n">
        <v>0.0003815408552213</v>
      </c>
      <c r="F261" s="7" t="s">
        <v>450</v>
      </c>
      <c r="G261" s="7" t="s">
        <v>451</v>
      </c>
      <c r="H261" s="7" t="s">
        <v>450</v>
      </c>
      <c r="I261" s="32" t="b">
        <f aca="false">FALSE()</f>
        <v>0</v>
      </c>
      <c r="J261" s="32" t="b">
        <f aca="false">FALSE()</f>
        <v>0</v>
      </c>
      <c r="K261" s="32" t="b">
        <f aca="false">FALSE()</f>
        <v>0</v>
      </c>
      <c r="L261" s="7" t="s">
        <v>445</v>
      </c>
      <c r="M261" s="7" t="s">
        <v>452</v>
      </c>
      <c r="N261" s="7" t="s">
        <v>453</v>
      </c>
      <c r="O261" s="7"/>
      <c r="P261" s="7"/>
      <c r="Q261" s="7"/>
      <c r="R261" s="7"/>
    </row>
    <row r="262" customFormat="false" ht="15" hidden="false" customHeight="false" outlineLevel="0" collapsed="false">
      <c r="A262" s="7" t="s">
        <v>306</v>
      </c>
      <c r="B262" s="7" t="s">
        <v>64</v>
      </c>
      <c r="C262" s="7" t="n">
        <v>80963.3</v>
      </c>
      <c r="D262" s="7" t="n">
        <v>80891.4</v>
      </c>
      <c r="E262" s="7" t="n">
        <v>0.0008888460330765</v>
      </c>
      <c r="F262" s="7" t="s">
        <v>60</v>
      </c>
      <c r="G262" s="7" t="s">
        <v>459</v>
      </c>
      <c r="H262" s="7" t="s">
        <v>66</v>
      </c>
      <c r="I262" s="32" t="b">
        <f aca="false">FALSE()</f>
        <v>0</v>
      </c>
      <c r="J262" s="32" t="b">
        <f aca="false">TRUE()</f>
        <v>1</v>
      </c>
      <c r="K262" s="32" t="b">
        <f aca="false">FALSE()</f>
        <v>0</v>
      </c>
      <c r="L262" s="7" t="s">
        <v>445</v>
      </c>
      <c r="M262" s="7" t="s">
        <v>446</v>
      </c>
      <c r="N262" s="7" t="s">
        <v>460</v>
      </c>
      <c r="O262" s="7" t="n">
        <v>80948.49</v>
      </c>
      <c r="P262" s="7" t="n">
        <v>80527.39</v>
      </c>
      <c r="Q262" s="7" t="n">
        <v>31.06</v>
      </c>
      <c r="R262" s="7" t="s">
        <v>69</v>
      </c>
    </row>
    <row r="263" customFormat="false" ht="15" hidden="false" customHeight="false" outlineLevel="0" collapsed="false">
      <c r="A263" s="7" t="s">
        <v>307</v>
      </c>
      <c r="B263" s="7" t="s">
        <v>63</v>
      </c>
      <c r="C263" s="7" t="n">
        <v>80736.6</v>
      </c>
      <c r="D263" s="7" t="n">
        <v>80614.9</v>
      </c>
      <c r="E263" s="7" t="n">
        <v>0.0015096464797452</v>
      </c>
      <c r="F263" s="7" t="s">
        <v>60</v>
      </c>
      <c r="G263" s="7" t="s">
        <v>448</v>
      </c>
      <c r="H263" s="7" t="s">
        <v>67</v>
      </c>
      <c r="I263" s="32" t="b">
        <f aca="false">FALSE()</f>
        <v>0</v>
      </c>
      <c r="J263" s="32" t="b">
        <f aca="false">TRUE()</f>
        <v>1</v>
      </c>
      <c r="K263" s="32" t="b">
        <f aca="false">FALSE()</f>
        <v>0</v>
      </c>
      <c r="L263" s="7" t="s">
        <v>445</v>
      </c>
      <c r="M263" s="7" t="s">
        <v>446</v>
      </c>
      <c r="N263" s="7" t="s">
        <v>469</v>
      </c>
      <c r="O263" s="7" t="n">
        <v>80692.66</v>
      </c>
      <c r="P263" s="7" t="n">
        <v>81099.91</v>
      </c>
      <c r="Q263" s="7" t="n">
        <v>-91.69</v>
      </c>
      <c r="R263" s="7" t="s">
        <v>70</v>
      </c>
    </row>
    <row r="264" customFormat="false" ht="15" hidden="false" customHeight="false" outlineLevel="0" collapsed="false">
      <c r="A264" s="7" t="s">
        <v>307</v>
      </c>
      <c r="B264" s="7" t="s">
        <v>64</v>
      </c>
      <c r="C264" s="7" t="n">
        <v>81219.5</v>
      </c>
      <c r="D264" s="7" t="n">
        <v>80716</v>
      </c>
      <c r="E264" s="7" t="n">
        <v>0.0062379206105357</v>
      </c>
      <c r="F264" s="7" t="s">
        <v>450</v>
      </c>
      <c r="G264" s="7" t="s">
        <v>451</v>
      </c>
      <c r="H264" s="7" t="s">
        <v>450</v>
      </c>
      <c r="I264" s="32" t="b">
        <f aca="false">FALSE()</f>
        <v>0</v>
      </c>
      <c r="J264" s="32" t="b">
        <f aca="false">FALSE()</f>
        <v>0</v>
      </c>
      <c r="K264" s="32" t="b">
        <f aca="false">FALSE()</f>
        <v>0</v>
      </c>
      <c r="L264" s="7" t="s">
        <v>445</v>
      </c>
      <c r="M264" s="7" t="s">
        <v>452</v>
      </c>
      <c r="N264" s="7" t="s">
        <v>453</v>
      </c>
      <c r="O264" s="7"/>
      <c r="P264" s="7"/>
      <c r="Q264" s="7"/>
      <c r="R264" s="7"/>
    </row>
    <row r="265" customFormat="false" ht="15" hidden="false" customHeight="false" outlineLevel="0" collapsed="false">
      <c r="A265" s="7" t="s">
        <v>308</v>
      </c>
      <c r="B265" s="7" t="s">
        <v>63</v>
      </c>
      <c r="C265" s="7" t="n">
        <v>81067.6</v>
      </c>
      <c r="D265" s="7" t="n">
        <v>80900.4</v>
      </c>
      <c r="E265" s="7" t="n">
        <v>0.0020667388541961</v>
      </c>
      <c r="F265" s="7" t="s">
        <v>59</v>
      </c>
      <c r="G265" s="7" t="s">
        <v>444</v>
      </c>
      <c r="H265" s="7" t="s">
        <v>67</v>
      </c>
      <c r="I265" s="32" t="b">
        <f aca="false">TRUE()</f>
        <v>1</v>
      </c>
      <c r="J265" s="32" t="b">
        <f aca="false">FALSE()</f>
        <v>0</v>
      </c>
      <c r="K265" s="32" t="b">
        <f aca="false">FALSE()</f>
        <v>0</v>
      </c>
      <c r="L265" s="7" t="s">
        <v>445</v>
      </c>
      <c r="M265" s="7" t="s">
        <v>446</v>
      </c>
      <c r="N265" s="7" t="s">
        <v>528</v>
      </c>
      <c r="O265" s="7" t="n">
        <v>80793.04</v>
      </c>
      <c r="P265" s="7" t="n">
        <v>81021.75</v>
      </c>
      <c r="Q265" s="7" t="n">
        <v>-8.01</v>
      </c>
      <c r="R265" s="7" t="s">
        <v>69</v>
      </c>
    </row>
    <row r="266" customFormat="false" ht="15" hidden="false" customHeight="false" outlineLevel="0" collapsed="false">
      <c r="A266" s="7" t="s">
        <v>308</v>
      </c>
      <c r="B266" s="7" t="s">
        <v>64</v>
      </c>
      <c r="C266" s="7" t="n">
        <v>80795</v>
      </c>
      <c r="D266" s="7" t="n">
        <v>80545</v>
      </c>
      <c r="E266" s="7" t="n">
        <v>0.0031038549878949</v>
      </c>
      <c r="F266" s="7" t="s">
        <v>450</v>
      </c>
      <c r="G266" s="7" t="s">
        <v>451</v>
      </c>
      <c r="H266" s="7" t="s">
        <v>450</v>
      </c>
      <c r="I266" s="32" t="b">
        <f aca="false">FALSE()</f>
        <v>0</v>
      </c>
      <c r="J266" s="32" t="b">
        <f aca="false">FALSE()</f>
        <v>0</v>
      </c>
      <c r="K266" s="32" t="b">
        <f aca="false">FALSE()</f>
        <v>0</v>
      </c>
      <c r="L266" s="7" t="s">
        <v>445</v>
      </c>
      <c r="M266" s="7" t="s">
        <v>452</v>
      </c>
      <c r="N266" s="7" t="s">
        <v>453</v>
      </c>
      <c r="O266" s="7"/>
      <c r="P266" s="7"/>
      <c r="Q266" s="7"/>
      <c r="R266" s="7"/>
    </row>
    <row r="267" customFormat="false" ht="15" hidden="false" customHeight="false" outlineLevel="0" collapsed="false">
      <c r="A267" s="7" t="s">
        <v>529</v>
      </c>
      <c r="B267" s="7" t="s">
        <v>63</v>
      </c>
      <c r="C267" s="7" t="n">
        <v>80940</v>
      </c>
      <c r="D267" s="7" t="n">
        <v>80847</v>
      </c>
      <c r="E267" s="7" t="n">
        <v>0.0011503209766596</v>
      </c>
      <c r="F267" s="7" t="s">
        <v>450</v>
      </c>
      <c r="G267" s="7" t="s">
        <v>451</v>
      </c>
      <c r="H267" s="7" t="s">
        <v>450</v>
      </c>
      <c r="I267" s="32" t="b">
        <f aca="false">FALSE()</f>
        <v>0</v>
      </c>
      <c r="J267" s="32" t="b">
        <f aca="false">FALSE()</f>
        <v>0</v>
      </c>
      <c r="K267" s="32" t="b">
        <f aca="false">FALSE()</f>
        <v>0</v>
      </c>
      <c r="L267" s="7" t="s">
        <v>445</v>
      </c>
      <c r="M267" s="7" t="s">
        <v>452</v>
      </c>
      <c r="N267" s="7" t="s">
        <v>453</v>
      </c>
      <c r="O267" s="7"/>
      <c r="P267" s="7"/>
      <c r="Q267" s="7"/>
      <c r="R267" s="7"/>
    </row>
    <row r="268" customFormat="false" ht="15" hidden="false" customHeight="false" outlineLevel="0" collapsed="false">
      <c r="A268" s="7" t="s">
        <v>529</v>
      </c>
      <c r="B268" s="7" t="s">
        <v>64</v>
      </c>
      <c r="C268" s="7" t="n">
        <v>80178.9</v>
      </c>
      <c r="D268" s="7" t="n">
        <v>79735.7</v>
      </c>
      <c r="E268" s="7" t="n">
        <v>0.0055583634432255</v>
      </c>
      <c r="F268" s="7" t="s">
        <v>450</v>
      </c>
      <c r="G268" s="7" t="s">
        <v>451</v>
      </c>
      <c r="H268" s="7" t="s">
        <v>450</v>
      </c>
      <c r="I268" s="32" t="b">
        <f aca="false">FALSE()</f>
        <v>0</v>
      </c>
      <c r="J268" s="32" t="b">
        <f aca="false">FALSE()</f>
        <v>0</v>
      </c>
      <c r="K268" s="32" t="b">
        <f aca="false">FALSE()</f>
        <v>0</v>
      </c>
      <c r="L268" s="7" t="s">
        <v>445</v>
      </c>
      <c r="M268" s="7" t="s">
        <v>452</v>
      </c>
      <c r="N268" s="7" t="s">
        <v>453</v>
      </c>
      <c r="O268" s="7"/>
      <c r="P268" s="7"/>
      <c r="Q268" s="7"/>
      <c r="R268" s="7"/>
    </row>
    <row r="269" customFormat="false" ht="15" hidden="false" customHeight="false" outlineLevel="0" collapsed="false">
      <c r="A269" s="7" t="s">
        <v>309</v>
      </c>
      <c r="B269" s="7" t="s">
        <v>63</v>
      </c>
      <c r="C269" s="7" t="n">
        <v>79900</v>
      </c>
      <c r="D269" s="7" t="n">
        <v>79753.5</v>
      </c>
      <c r="E269" s="7" t="n">
        <v>0.0018369099788724</v>
      </c>
      <c r="F269" s="7" t="s">
        <v>450</v>
      </c>
      <c r="G269" s="7" t="s">
        <v>451</v>
      </c>
      <c r="H269" s="7" t="s">
        <v>450</v>
      </c>
      <c r="I269" s="32" t="b">
        <f aca="false">FALSE()</f>
        <v>0</v>
      </c>
      <c r="J269" s="32" t="b">
        <f aca="false">FALSE()</f>
        <v>0</v>
      </c>
      <c r="K269" s="32" t="b">
        <f aca="false">FALSE()</f>
        <v>0</v>
      </c>
      <c r="L269" s="7" t="s">
        <v>445</v>
      </c>
      <c r="M269" s="7" t="s">
        <v>452</v>
      </c>
      <c r="N269" s="7" t="s">
        <v>453</v>
      </c>
      <c r="O269" s="7"/>
      <c r="P269" s="7"/>
      <c r="Q269" s="7"/>
      <c r="R269" s="7"/>
    </row>
    <row r="270" customFormat="false" ht="15" hidden="false" customHeight="false" outlineLevel="0" collapsed="false">
      <c r="A270" s="7" t="s">
        <v>309</v>
      </c>
      <c r="B270" s="7" t="s">
        <v>64</v>
      </c>
      <c r="C270" s="7" t="n">
        <v>79953.4</v>
      </c>
      <c r="D270" s="7" t="n">
        <v>79650</v>
      </c>
      <c r="E270" s="7" t="n">
        <v>0.0038091650973006</v>
      </c>
      <c r="F270" s="7" t="s">
        <v>60</v>
      </c>
      <c r="G270" s="7" t="s">
        <v>448</v>
      </c>
      <c r="H270" s="7" t="s">
        <v>67</v>
      </c>
      <c r="I270" s="32" t="b">
        <f aca="false">FALSE()</f>
        <v>0</v>
      </c>
      <c r="J270" s="32" t="b">
        <f aca="false">TRUE()</f>
        <v>1</v>
      </c>
      <c r="K270" s="32" t="b">
        <f aca="false">FALSE()</f>
        <v>0</v>
      </c>
      <c r="L270" s="7" t="s">
        <v>445</v>
      </c>
      <c r="M270" s="7" t="s">
        <v>446</v>
      </c>
      <c r="N270" s="7" t="s">
        <v>472</v>
      </c>
      <c r="O270" s="7" t="n">
        <v>79644.97</v>
      </c>
      <c r="P270" s="7" t="n">
        <v>80313.19</v>
      </c>
      <c r="Q270" s="7" t="n">
        <v>-68.53</v>
      </c>
      <c r="R270" s="7" t="s">
        <v>70</v>
      </c>
    </row>
    <row r="271" customFormat="false" ht="15" hidden="false" customHeight="false" outlineLevel="0" collapsed="false">
      <c r="A271" s="7" t="s">
        <v>310</v>
      </c>
      <c r="B271" s="7" t="s">
        <v>63</v>
      </c>
      <c r="C271" s="7" t="n">
        <v>80865.7</v>
      </c>
      <c r="D271" s="7" t="n">
        <v>80695.5</v>
      </c>
      <c r="E271" s="7" t="n">
        <v>0.0021091634601681</v>
      </c>
      <c r="F271" s="7" t="s">
        <v>60</v>
      </c>
      <c r="G271" s="7" t="s">
        <v>448</v>
      </c>
      <c r="H271" s="7" t="s">
        <v>67</v>
      </c>
      <c r="I271" s="32" t="b">
        <f aca="false">FALSE()</f>
        <v>0</v>
      </c>
      <c r="J271" s="32" t="b">
        <f aca="false">TRUE()</f>
        <v>1</v>
      </c>
      <c r="K271" s="32" t="b">
        <f aca="false">FALSE()</f>
        <v>0</v>
      </c>
      <c r="L271" s="7" t="s">
        <v>445</v>
      </c>
      <c r="M271" s="7" t="s">
        <v>446</v>
      </c>
      <c r="N271" s="7" t="s">
        <v>449</v>
      </c>
      <c r="O271" s="7" t="n">
        <v>80766.74</v>
      </c>
      <c r="P271" s="7" t="n">
        <v>81229.6</v>
      </c>
      <c r="Q271" s="7" t="n">
        <v>15.74</v>
      </c>
      <c r="R271" s="7" t="s">
        <v>69</v>
      </c>
    </row>
    <row r="272" customFormat="false" ht="15" hidden="false" customHeight="false" outlineLevel="0" collapsed="false">
      <c r="A272" s="7" t="s">
        <v>310</v>
      </c>
      <c r="B272" s="7" t="s">
        <v>64</v>
      </c>
      <c r="C272" s="7" t="n">
        <v>79983.3</v>
      </c>
      <c r="D272" s="7" t="n">
        <v>79055</v>
      </c>
      <c r="E272" s="7" t="n">
        <v>0.0117424577825564</v>
      </c>
      <c r="F272" s="7" t="s">
        <v>59</v>
      </c>
      <c r="G272" s="7" t="s">
        <v>444</v>
      </c>
      <c r="H272" s="7" t="s">
        <v>67</v>
      </c>
      <c r="I272" s="32" t="b">
        <f aca="false">TRUE()</f>
        <v>1</v>
      </c>
      <c r="J272" s="32" t="b">
        <f aca="false">FALSE()</f>
        <v>0</v>
      </c>
      <c r="K272" s="32" t="b">
        <f aca="false">FALSE()</f>
        <v>0</v>
      </c>
      <c r="L272" s="7" t="s">
        <v>445</v>
      </c>
      <c r="M272" s="7" t="s">
        <v>446</v>
      </c>
      <c r="N272" s="7" t="s">
        <v>530</v>
      </c>
      <c r="O272" s="7" t="n">
        <v>78712.05</v>
      </c>
      <c r="P272" s="7" t="n">
        <v>79173.58</v>
      </c>
      <c r="Q272" s="7" t="n">
        <v>-100.36</v>
      </c>
      <c r="R272" s="7" t="s">
        <v>70</v>
      </c>
    </row>
    <row r="273" customFormat="false" ht="15" hidden="false" customHeight="false" outlineLevel="0" collapsed="false">
      <c r="A273" s="7" t="s">
        <v>311</v>
      </c>
      <c r="B273" s="7" t="s">
        <v>63</v>
      </c>
      <c r="C273" s="7" t="n">
        <v>78528.5</v>
      </c>
      <c r="D273" s="7" t="n">
        <v>78315.1</v>
      </c>
      <c r="E273" s="7" t="n">
        <v>0.002724889580681</v>
      </c>
      <c r="F273" s="7" t="s">
        <v>60</v>
      </c>
      <c r="G273" s="7" t="s">
        <v>459</v>
      </c>
      <c r="H273" s="7" t="s">
        <v>66</v>
      </c>
      <c r="I273" s="32" t="b">
        <f aca="false">FALSE()</f>
        <v>0</v>
      </c>
      <c r="J273" s="32" t="b">
        <f aca="false">TRUE()</f>
        <v>1</v>
      </c>
      <c r="K273" s="32" t="b">
        <f aca="false">FALSE()</f>
        <v>0</v>
      </c>
      <c r="L273" s="7" t="s">
        <v>445</v>
      </c>
      <c r="M273" s="7" t="s">
        <v>446</v>
      </c>
      <c r="N273" s="7" t="s">
        <v>510</v>
      </c>
      <c r="O273" s="7" t="n">
        <v>78399.08</v>
      </c>
      <c r="P273" s="7" t="n">
        <v>77962.68</v>
      </c>
      <c r="Q273" s="7" t="n">
        <v>-96</v>
      </c>
      <c r="R273" s="7" t="s">
        <v>70</v>
      </c>
    </row>
    <row r="274" customFormat="false" ht="15" hidden="false" customHeight="false" outlineLevel="0" collapsed="false">
      <c r="A274" s="7" t="s">
        <v>311</v>
      </c>
      <c r="B274" s="7" t="s">
        <v>64</v>
      </c>
      <c r="C274" s="7" t="n">
        <v>77950</v>
      </c>
      <c r="D274" s="7" t="n">
        <v>77800</v>
      </c>
      <c r="E274" s="7" t="n">
        <v>0.0019280205655526</v>
      </c>
      <c r="F274" s="7" t="s">
        <v>450</v>
      </c>
      <c r="G274" s="7" t="s">
        <v>451</v>
      </c>
      <c r="H274" s="7" t="s">
        <v>450</v>
      </c>
      <c r="I274" s="32" t="b">
        <f aca="false">FALSE()</f>
        <v>0</v>
      </c>
      <c r="J274" s="32" t="b">
        <f aca="false">FALSE()</f>
        <v>0</v>
      </c>
      <c r="K274" s="32" t="b">
        <f aca="false">FALSE()</f>
        <v>0</v>
      </c>
      <c r="L274" s="7" t="s">
        <v>445</v>
      </c>
      <c r="M274" s="7" t="s">
        <v>452</v>
      </c>
      <c r="N274" s="7" t="s">
        <v>453</v>
      </c>
      <c r="O274" s="7"/>
      <c r="P274" s="7"/>
      <c r="Q274" s="7"/>
      <c r="R274" s="7"/>
    </row>
    <row r="275" customFormat="false" ht="15" hidden="false" customHeight="false" outlineLevel="0" collapsed="false">
      <c r="A275" s="7" t="s">
        <v>531</v>
      </c>
      <c r="B275" s="7" t="s">
        <v>63</v>
      </c>
      <c r="C275" s="7" t="n">
        <v>78175.3</v>
      </c>
      <c r="D275" s="7" t="n">
        <v>78064.7</v>
      </c>
      <c r="E275" s="7" t="n">
        <v>0.0014167735224756</v>
      </c>
      <c r="F275" s="7" t="s">
        <v>450</v>
      </c>
      <c r="G275" s="7" t="s">
        <v>451</v>
      </c>
      <c r="H275" s="7" t="s">
        <v>450</v>
      </c>
      <c r="I275" s="32" t="b">
        <f aca="false">FALSE()</f>
        <v>0</v>
      </c>
      <c r="J275" s="32" t="b">
        <f aca="false">FALSE()</f>
        <v>0</v>
      </c>
      <c r="K275" s="32" t="b">
        <f aca="false">FALSE()</f>
        <v>0</v>
      </c>
      <c r="L275" s="7" t="s">
        <v>445</v>
      </c>
      <c r="M275" s="7" t="s">
        <v>452</v>
      </c>
      <c r="N275" s="7" t="s">
        <v>453</v>
      </c>
      <c r="O275" s="7"/>
      <c r="P275" s="7"/>
      <c r="Q275" s="7"/>
      <c r="R275" s="7"/>
    </row>
    <row r="276" customFormat="false" ht="15" hidden="false" customHeight="false" outlineLevel="0" collapsed="false">
      <c r="A276" s="7" t="s">
        <v>531</v>
      </c>
      <c r="B276" s="7" t="s">
        <v>64</v>
      </c>
      <c r="C276" s="7" t="n">
        <v>78312.5</v>
      </c>
      <c r="D276" s="7" t="n">
        <v>78195.7</v>
      </c>
      <c r="E276" s="7" t="n">
        <v>0.0014936882718615</v>
      </c>
      <c r="F276" s="7" t="s">
        <v>450</v>
      </c>
      <c r="G276" s="7" t="s">
        <v>451</v>
      </c>
      <c r="H276" s="7" t="s">
        <v>450</v>
      </c>
      <c r="I276" s="32" t="b">
        <f aca="false">FALSE()</f>
        <v>0</v>
      </c>
      <c r="J276" s="32" t="b">
        <f aca="false">FALSE()</f>
        <v>0</v>
      </c>
      <c r="K276" s="32" t="b">
        <f aca="false">FALSE()</f>
        <v>0</v>
      </c>
      <c r="L276" s="7" t="s">
        <v>445</v>
      </c>
      <c r="M276" s="7" t="s">
        <v>452</v>
      </c>
      <c r="N276" s="7" t="s">
        <v>453</v>
      </c>
      <c r="O276" s="7"/>
      <c r="P276" s="7"/>
      <c r="Q276" s="7"/>
      <c r="R276" s="7"/>
    </row>
    <row r="277" customFormat="false" ht="15" hidden="false" customHeight="false" outlineLevel="0" collapsed="false">
      <c r="A277" s="7" t="s">
        <v>312</v>
      </c>
      <c r="B277" s="7" t="s">
        <v>63</v>
      </c>
      <c r="C277" s="7" t="n">
        <v>77050.5</v>
      </c>
      <c r="D277" s="7" t="n">
        <v>76890</v>
      </c>
      <c r="E277" s="7" t="n">
        <v>0.0020873975809598</v>
      </c>
      <c r="F277" s="7" t="s">
        <v>60</v>
      </c>
      <c r="G277" s="7" t="s">
        <v>448</v>
      </c>
      <c r="H277" s="7" t="s">
        <v>67</v>
      </c>
      <c r="I277" s="32" t="b">
        <f aca="false">FALSE()</f>
        <v>0</v>
      </c>
      <c r="J277" s="32" t="b">
        <f aca="false">TRUE()</f>
        <v>1</v>
      </c>
      <c r="K277" s="32" t="b">
        <f aca="false">FALSE()</f>
        <v>0</v>
      </c>
      <c r="L277" s="7" t="s">
        <v>445</v>
      </c>
      <c r="M277" s="7" t="s">
        <v>446</v>
      </c>
      <c r="N277" s="7" t="s">
        <v>454</v>
      </c>
      <c r="O277" s="7" t="n">
        <v>76986.5</v>
      </c>
      <c r="P277" s="7" t="n">
        <v>77397.23</v>
      </c>
      <c r="Q277" s="7" t="n">
        <v>17.87</v>
      </c>
      <c r="R277" s="7" t="s">
        <v>69</v>
      </c>
    </row>
    <row r="278" customFormat="false" ht="15" hidden="false" customHeight="false" outlineLevel="0" collapsed="false">
      <c r="A278" s="7" t="s">
        <v>312</v>
      </c>
      <c r="B278" s="7" t="s">
        <v>64</v>
      </c>
      <c r="C278" s="7" t="n">
        <v>77253.9</v>
      </c>
      <c r="D278" s="7" t="n">
        <v>76714.7</v>
      </c>
      <c r="E278" s="7" t="n">
        <v>0.0070286398825778</v>
      </c>
      <c r="F278" s="7" t="s">
        <v>60</v>
      </c>
      <c r="G278" s="7" t="s">
        <v>459</v>
      </c>
      <c r="H278" s="7" t="s">
        <v>66</v>
      </c>
      <c r="I278" s="32" t="b">
        <f aca="false">FALSE()</f>
        <v>0</v>
      </c>
      <c r="J278" s="32" t="b">
        <f aca="false">TRUE()</f>
        <v>1</v>
      </c>
      <c r="K278" s="32" t="b">
        <f aca="false">FALSE()</f>
        <v>0</v>
      </c>
      <c r="L278" s="7" t="s">
        <v>445</v>
      </c>
      <c r="M278" s="7" t="s">
        <v>446</v>
      </c>
      <c r="N278" s="7" t="s">
        <v>465</v>
      </c>
      <c r="O278" s="7" t="n">
        <v>76929.28</v>
      </c>
      <c r="P278" s="7" t="n">
        <v>76369.48</v>
      </c>
      <c r="Q278" s="7" t="n">
        <v>-117.27</v>
      </c>
      <c r="R278" s="7" t="s">
        <v>70</v>
      </c>
    </row>
    <row r="279" customFormat="false" ht="15" hidden="false" customHeight="false" outlineLevel="0" collapsed="false">
      <c r="A279" s="7" t="s">
        <v>313</v>
      </c>
      <c r="B279" s="7" t="s">
        <v>63</v>
      </c>
      <c r="C279" s="7" t="n">
        <v>77240.6</v>
      </c>
      <c r="D279" s="7" t="n">
        <v>77096.4</v>
      </c>
      <c r="E279" s="7" t="n">
        <v>0.0018703856470601</v>
      </c>
      <c r="F279" s="7" t="s">
        <v>60</v>
      </c>
      <c r="G279" s="7" t="s">
        <v>448</v>
      </c>
      <c r="H279" s="7" t="s">
        <v>67</v>
      </c>
      <c r="I279" s="32" t="b">
        <f aca="false">FALSE()</f>
        <v>0</v>
      </c>
      <c r="J279" s="32" t="b">
        <f aca="false">TRUE()</f>
        <v>1</v>
      </c>
      <c r="K279" s="32" t="b">
        <f aca="false">FALSE()</f>
        <v>0</v>
      </c>
      <c r="L279" s="7" t="s">
        <v>445</v>
      </c>
      <c r="M279" s="7" t="s">
        <v>446</v>
      </c>
      <c r="N279" s="7" t="s">
        <v>472</v>
      </c>
      <c r="O279" s="7" t="n">
        <v>77184.96</v>
      </c>
      <c r="P279" s="7" t="n">
        <v>77588.18</v>
      </c>
      <c r="Q279" s="7" t="n">
        <v>12.35</v>
      </c>
      <c r="R279" s="7" t="s">
        <v>69</v>
      </c>
    </row>
    <row r="280" customFormat="false" ht="15" hidden="false" customHeight="false" outlineLevel="0" collapsed="false">
      <c r="A280" s="7" t="s">
        <v>313</v>
      </c>
      <c r="B280" s="7" t="s">
        <v>64</v>
      </c>
      <c r="C280" s="7" t="n">
        <v>77033.9</v>
      </c>
      <c r="D280" s="7" t="n">
        <v>76560</v>
      </c>
      <c r="E280" s="7" t="n">
        <v>0.0061899164054335</v>
      </c>
      <c r="F280" s="7" t="s">
        <v>450</v>
      </c>
      <c r="G280" s="7" t="s">
        <v>451</v>
      </c>
      <c r="H280" s="7" t="s">
        <v>450</v>
      </c>
      <c r="I280" s="32" t="b">
        <f aca="false">FALSE()</f>
        <v>0</v>
      </c>
      <c r="J280" s="32" t="b">
        <f aca="false">FALSE()</f>
        <v>0</v>
      </c>
      <c r="K280" s="32" t="b">
        <f aca="false">FALSE()</f>
        <v>0</v>
      </c>
      <c r="L280" s="7" t="s">
        <v>445</v>
      </c>
      <c r="M280" s="7" t="s">
        <v>452</v>
      </c>
      <c r="N280" s="7" t="s">
        <v>453</v>
      </c>
      <c r="O280" s="7"/>
      <c r="P280" s="7"/>
      <c r="Q280" s="7"/>
      <c r="R280" s="7"/>
    </row>
    <row r="281" customFormat="false" ht="15" hidden="false" customHeight="false" outlineLevel="0" collapsed="false">
      <c r="A281" s="7" t="s">
        <v>314</v>
      </c>
      <c r="B281" s="7" t="s">
        <v>63</v>
      </c>
      <c r="C281" s="7" t="n">
        <v>77374.4</v>
      </c>
      <c r="D281" s="7" t="n">
        <v>77286</v>
      </c>
      <c r="E281" s="7" t="n">
        <v>0.0011438035349221</v>
      </c>
      <c r="F281" s="7" t="s">
        <v>450</v>
      </c>
      <c r="G281" s="7" t="s">
        <v>451</v>
      </c>
      <c r="H281" s="7" t="s">
        <v>450</v>
      </c>
      <c r="I281" s="32" t="b">
        <f aca="false">FALSE()</f>
        <v>0</v>
      </c>
      <c r="J281" s="32" t="b">
        <f aca="false">FALSE()</f>
        <v>0</v>
      </c>
      <c r="K281" s="32" t="b">
        <f aca="false">FALSE()</f>
        <v>0</v>
      </c>
      <c r="L281" s="7" t="s">
        <v>445</v>
      </c>
      <c r="M281" s="7" t="s">
        <v>452</v>
      </c>
      <c r="N281" s="7" t="s">
        <v>453</v>
      </c>
      <c r="O281" s="7"/>
      <c r="P281" s="7"/>
      <c r="Q281" s="7"/>
      <c r="R281" s="7"/>
    </row>
    <row r="282" customFormat="false" ht="15" hidden="false" customHeight="false" outlineLevel="0" collapsed="false">
      <c r="A282" s="7" t="s">
        <v>314</v>
      </c>
      <c r="B282" s="7" t="s">
        <v>64</v>
      </c>
      <c r="C282" s="7" t="n">
        <v>77315.7</v>
      </c>
      <c r="D282" s="7" t="n">
        <v>76925.6</v>
      </c>
      <c r="E282" s="7" t="n">
        <v>0.0050711336668156</v>
      </c>
      <c r="F282" s="7" t="s">
        <v>60</v>
      </c>
      <c r="G282" s="7" t="s">
        <v>459</v>
      </c>
      <c r="H282" s="7" t="s">
        <v>66</v>
      </c>
      <c r="I282" s="32" t="b">
        <f aca="false">FALSE()</f>
        <v>0</v>
      </c>
      <c r="J282" s="32" t="b">
        <f aca="false">TRUE()</f>
        <v>1</v>
      </c>
      <c r="K282" s="32" t="b">
        <f aca="false">FALSE()</f>
        <v>0</v>
      </c>
      <c r="L282" s="7" t="s">
        <v>445</v>
      </c>
      <c r="M282" s="7" t="s">
        <v>446</v>
      </c>
      <c r="N282" s="7" t="s">
        <v>460</v>
      </c>
      <c r="O282" s="7" t="n">
        <v>77097.02</v>
      </c>
      <c r="P282" s="7" t="n">
        <v>76579.43</v>
      </c>
      <c r="Q282" s="7" t="n">
        <v>32.07</v>
      </c>
      <c r="R282" s="7" t="s">
        <v>69</v>
      </c>
    </row>
    <row r="283" customFormat="false" ht="15" hidden="false" customHeight="false" outlineLevel="0" collapsed="false">
      <c r="A283" s="7" t="s">
        <v>315</v>
      </c>
      <c r="B283" s="7" t="s">
        <v>63</v>
      </c>
      <c r="C283" s="7" t="n">
        <v>77687</v>
      </c>
      <c r="D283" s="7" t="n">
        <v>77569.6</v>
      </c>
      <c r="E283" s="7" t="n">
        <v>0.0015134795074358</v>
      </c>
      <c r="F283" s="7" t="s">
        <v>59</v>
      </c>
      <c r="G283" s="7" t="s">
        <v>444</v>
      </c>
      <c r="H283" s="7" t="s">
        <v>66</v>
      </c>
      <c r="I283" s="32" t="b">
        <f aca="false">TRUE()</f>
        <v>1</v>
      </c>
      <c r="J283" s="32" t="b">
        <f aca="false">FALSE()</f>
        <v>0</v>
      </c>
      <c r="K283" s="32" t="b">
        <f aca="false">FALSE()</f>
        <v>0</v>
      </c>
      <c r="L283" s="7" t="s">
        <v>445</v>
      </c>
      <c r="M283" s="7" t="s">
        <v>446</v>
      </c>
      <c r="N283" s="7" t="s">
        <v>532</v>
      </c>
      <c r="O283" s="7" t="n">
        <v>77861.67</v>
      </c>
      <c r="P283" s="7" t="n">
        <v>77570.47</v>
      </c>
      <c r="Q283" s="7" t="n">
        <v>27.65</v>
      </c>
      <c r="R283" s="7" t="s">
        <v>69</v>
      </c>
    </row>
    <row r="284" customFormat="false" ht="15" hidden="false" customHeight="false" outlineLevel="0" collapsed="false">
      <c r="A284" s="7" t="s">
        <v>315</v>
      </c>
      <c r="B284" s="7" t="s">
        <v>64</v>
      </c>
      <c r="C284" s="7" t="n">
        <v>77285.7</v>
      </c>
      <c r="D284" s="7" t="n">
        <v>76696.7</v>
      </c>
      <c r="E284" s="7" t="n">
        <v>0.0076796002957102</v>
      </c>
      <c r="F284" s="7" t="s">
        <v>450</v>
      </c>
      <c r="G284" s="7" t="s">
        <v>451</v>
      </c>
      <c r="H284" s="7" t="s">
        <v>450</v>
      </c>
      <c r="I284" s="32" t="b">
        <f aca="false">FALSE()</f>
        <v>0</v>
      </c>
      <c r="J284" s="32" t="b">
        <f aca="false">FALSE()</f>
        <v>0</v>
      </c>
      <c r="K284" s="32" t="b">
        <f aca="false">FALSE()</f>
        <v>0</v>
      </c>
      <c r="L284" s="7" t="s">
        <v>445</v>
      </c>
      <c r="M284" s="7" t="s">
        <v>452</v>
      </c>
      <c r="N284" s="7" t="s">
        <v>453</v>
      </c>
      <c r="O284" s="7"/>
      <c r="P284" s="7"/>
      <c r="Q284" s="7"/>
      <c r="R284" s="7"/>
    </row>
    <row r="285" customFormat="false" ht="15" hidden="false" customHeight="false" outlineLevel="0" collapsed="false">
      <c r="A285" s="7" t="s">
        <v>533</v>
      </c>
      <c r="B285" s="7" t="s">
        <v>63</v>
      </c>
      <c r="C285" s="7" t="n">
        <v>77514.5</v>
      </c>
      <c r="D285" s="7" t="n">
        <v>77400</v>
      </c>
      <c r="E285" s="7" t="n">
        <v>0.0014793281653746</v>
      </c>
      <c r="F285" s="7" t="s">
        <v>450</v>
      </c>
      <c r="G285" s="7" t="s">
        <v>451</v>
      </c>
      <c r="H285" s="7" t="s">
        <v>450</v>
      </c>
      <c r="I285" s="32" t="b">
        <f aca="false">FALSE()</f>
        <v>0</v>
      </c>
      <c r="J285" s="32" t="b">
        <f aca="false">FALSE()</f>
        <v>0</v>
      </c>
      <c r="K285" s="32" t="b">
        <f aca="false">FALSE()</f>
        <v>0</v>
      </c>
      <c r="L285" s="7" t="s">
        <v>445</v>
      </c>
      <c r="M285" s="7" t="s">
        <v>452</v>
      </c>
      <c r="N285" s="7" t="s">
        <v>453</v>
      </c>
      <c r="O285" s="7"/>
      <c r="P285" s="7"/>
      <c r="Q285" s="7"/>
      <c r="R285" s="7"/>
    </row>
    <row r="286" customFormat="false" ht="15" hidden="false" customHeight="false" outlineLevel="0" collapsed="false">
      <c r="A286" s="7" t="s">
        <v>533</v>
      </c>
      <c r="B286" s="7" t="s">
        <v>64</v>
      </c>
      <c r="C286" s="7" t="n">
        <v>77340</v>
      </c>
      <c r="D286" s="7" t="n">
        <v>77085.5</v>
      </c>
      <c r="E286" s="7" t="n">
        <v>0.0033015288218925</v>
      </c>
      <c r="F286" s="7" t="s">
        <v>450</v>
      </c>
      <c r="G286" s="7" t="s">
        <v>451</v>
      </c>
      <c r="H286" s="7" t="s">
        <v>450</v>
      </c>
      <c r="I286" s="32" t="b">
        <f aca="false">FALSE()</f>
        <v>0</v>
      </c>
      <c r="J286" s="32" t="b">
        <f aca="false">FALSE()</f>
        <v>0</v>
      </c>
      <c r="K286" s="32" t="b">
        <f aca="false">FALSE()</f>
        <v>0</v>
      </c>
      <c r="L286" s="7" t="s">
        <v>445</v>
      </c>
      <c r="M286" s="7" t="s">
        <v>452</v>
      </c>
      <c r="N286" s="7" t="s">
        <v>453</v>
      </c>
      <c r="O286" s="7"/>
      <c r="P286" s="7"/>
      <c r="Q286" s="7"/>
      <c r="R286" s="7"/>
    </row>
    <row r="287" customFormat="false" ht="15" hidden="false" customHeight="false" outlineLevel="0" collapsed="false">
      <c r="A287" s="7" t="s">
        <v>316</v>
      </c>
      <c r="B287" s="7" t="s">
        <v>63</v>
      </c>
      <c r="C287" s="7" t="n">
        <v>75310.9</v>
      </c>
      <c r="D287" s="7" t="n">
        <v>75104.9</v>
      </c>
      <c r="E287" s="7" t="n">
        <v>0.002742830361268</v>
      </c>
      <c r="F287" s="7" t="s">
        <v>59</v>
      </c>
      <c r="G287" s="7" t="s">
        <v>444</v>
      </c>
      <c r="H287" s="7" t="s">
        <v>67</v>
      </c>
      <c r="I287" s="32" t="b">
        <f aca="false">TRUE()</f>
        <v>1</v>
      </c>
      <c r="J287" s="32" t="b">
        <f aca="false">FALSE()</f>
        <v>0</v>
      </c>
      <c r="K287" s="32" t="b">
        <f aca="false">FALSE()</f>
        <v>0</v>
      </c>
      <c r="L287" s="7" t="s">
        <v>445</v>
      </c>
      <c r="M287" s="7" t="s">
        <v>446</v>
      </c>
      <c r="N287" s="7" t="s">
        <v>534</v>
      </c>
      <c r="O287" s="7" t="n">
        <v>74558.29</v>
      </c>
      <c r="P287" s="7" t="n">
        <v>75217.56</v>
      </c>
      <c r="Q287" s="7" t="n">
        <v>-39.44</v>
      </c>
      <c r="R287" s="7" t="s">
        <v>71</v>
      </c>
    </row>
    <row r="288" customFormat="false" ht="15" hidden="false" customHeight="false" outlineLevel="0" collapsed="false">
      <c r="A288" s="7" t="s">
        <v>316</v>
      </c>
      <c r="B288" s="7" t="s">
        <v>64</v>
      </c>
      <c r="C288" s="7" t="n">
        <v>75007.5</v>
      </c>
      <c r="D288" s="7" t="n">
        <v>74841.6</v>
      </c>
      <c r="E288" s="7" t="n">
        <v>0.0022166816316058</v>
      </c>
      <c r="F288" s="7" t="s">
        <v>59</v>
      </c>
      <c r="G288" s="7" t="s">
        <v>444</v>
      </c>
      <c r="H288" s="7" t="s">
        <v>66</v>
      </c>
      <c r="I288" s="32" t="b">
        <f aca="false">TRUE()</f>
        <v>1</v>
      </c>
      <c r="J288" s="32" t="b">
        <f aca="false">FALSE()</f>
        <v>0</v>
      </c>
      <c r="K288" s="32" t="b">
        <f aca="false">FALSE()</f>
        <v>0</v>
      </c>
      <c r="L288" s="7" t="s">
        <v>445</v>
      </c>
      <c r="M288" s="7" t="s">
        <v>446</v>
      </c>
      <c r="N288" s="7" t="s">
        <v>535</v>
      </c>
      <c r="O288" s="7" t="n">
        <v>75195.84</v>
      </c>
      <c r="P288" s="7" t="n">
        <v>74894.99</v>
      </c>
      <c r="Q288" s="7" t="n">
        <v>16.95</v>
      </c>
      <c r="R288" s="7" t="s">
        <v>69</v>
      </c>
    </row>
    <row r="289" customFormat="false" ht="15" hidden="false" customHeight="false" outlineLevel="0" collapsed="false">
      <c r="A289" s="7" t="s">
        <v>536</v>
      </c>
      <c r="B289" s="7" t="s">
        <v>63</v>
      </c>
      <c r="C289" s="7" t="n">
        <v>76876</v>
      </c>
      <c r="D289" s="7" t="n">
        <v>76810</v>
      </c>
      <c r="E289" s="7" t="n">
        <v>0.0008592631167816</v>
      </c>
      <c r="F289" s="7" t="s">
        <v>450</v>
      </c>
      <c r="G289" s="7" t="s">
        <v>451</v>
      </c>
      <c r="H289" s="7" t="s">
        <v>450</v>
      </c>
      <c r="I289" s="32" t="b">
        <f aca="false">FALSE()</f>
        <v>0</v>
      </c>
      <c r="J289" s="32" t="b">
        <f aca="false">FALSE()</f>
        <v>0</v>
      </c>
      <c r="K289" s="32" t="b">
        <f aca="false">FALSE()</f>
        <v>0</v>
      </c>
      <c r="L289" s="7" t="s">
        <v>445</v>
      </c>
      <c r="M289" s="7" t="s">
        <v>452</v>
      </c>
      <c r="N289" s="7" t="s">
        <v>453</v>
      </c>
      <c r="O289" s="7"/>
      <c r="P289" s="7"/>
      <c r="Q289" s="7"/>
      <c r="R289" s="7"/>
    </row>
    <row r="290" customFormat="false" ht="15" hidden="false" customHeight="false" outlineLevel="0" collapsed="false">
      <c r="A290" s="7" t="s">
        <v>536</v>
      </c>
      <c r="B290" s="7" t="s">
        <v>64</v>
      </c>
      <c r="C290" s="7" t="n">
        <v>76983.2</v>
      </c>
      <c r="D290" s="7" t="n">
        <v>76838.3</v>
      </c>
      <c r="E290" s="7" t="n">
        <v>0.0018857783162822</v>
      </c>
      <c r="F290" s="7" t="s">
        <v>450</v>
      </c>
      <c r="G290" s="7" t="s">
        <v>451</v>
      </c>
      <c r="H290" s="7" t="s">
        <v>450</v>
      </c>
      <c r="I290" s="32" t="b">
        <f aca="false">FALSE()</f>
        <v>0</v>
      </c>
      <c r="J290" s="32" t="b">
        <f aca="false">FALSE()</f>
        <v>0</v>
      </c>
      <c r="K290" s="32" t="b">
        <f aca="false">FALSE()</f>
        <v>0</v>
      </c>
      <c r="L290" s="7" t="s">
        <v>445</v>
      </c>
      <c r="M290" s="7" t="s">
        <v>452</v>
      </c>
      <c r="N290" s="7" t="s">
        <v>453</v>
      </c>
      <c r="O290" s="7"/>
      <c r="P290" s="7"/>
      <c r="Q290" s="7"/>
      <c r="R290" s="7"/>
    </row>
    <row r="291" customFormat="false" ht="15" hidden="false" customHeight="false" outlineLevel="0" collapsed="false">
      <c r="A291" s="7" t="s">
        <v>317</v>
      </c>
      <c r="B291" s="7" t="s">
        <v>63</v>
      </c>
      <c r="C291" s="7" t="n">
        <v>77304.7</v>
      </c>
      <c r="D291" s="7" t="n">
        <v>77161.2</v>
      </c>
      <c r="E291" s="7" t="n">
        <v>0.0018597429796322</v>
      </c>
      <c r="F291" s="7" t="s">
        <v>59</v>
      </c>
      <c r="G291" s="7" t="s">
        <v>444</v>
      </c>
      <c r="H291" s="7" t="s">
        <v>66</v>
      </c>
      <c r="I291" s="32" t="b">
        <f aca="false">TRUE()</f>
        <v>1</v>
      </c>
      <c r="J291" s="32" t="b">
        <f aca="false">FALSE()</f>
        <v>0</v>
      </c>
      <c r="K291" s="32" t="b">
        <f aca="false">FALSE()</f>
        <v>0</v>
      </c>
      <c r="L291" s="7" t="s">
        <v>445</v>
      </c>
      <c r="M291" s="7" t="s">
        <v>446</v>
      </c>
      <c r="N291" s="7" t="s">
        <v>507</v>
      </c>
      <c r="O291" s="7" t="n">
        <v>77392.38</v>
      </c>
      <c r="P291" s="7" t="n">
        <v>77188.74</v>
      </c>
      <c r="Q291" s="7" t="n">
        <v>37.82</v>
      </c>
      <c r="R291" s="7" t="s">
        <v>69</v>
      </c>
    </row>
    <row r="292" customFormat="false" ht="15" hidden="false" customHeight="false" outlineLevel="0" collapsed="false">
      <c r="A292" s="7" t="s">
        <v>317</v>
      </c>
      <c r="B292" s="7" t="s">
        <v>64</v>
      </c>
      <c r="C292" s="7" t="n">
        <v>77330</v>
      </c>
      <c r="D292" s="7" t="n">
        <v>77254.8</v>
      </c>
      <c r="E292" s="7" t="n">
        <v>0.0009734022999217</v>
      </c>
      <c r="F292" s="7" t="s">
        <v>450</v>
      </c>
      <c r="G292" s="7" t="s">
        <v>451</v>
      </c>
      <c r="H292" s="7" t="s">
        <v>450</v>
      </c>
      <c r="I292" s="32" t="b">
        <f aca="false">FALSE()</f>
        <v>0</v>
      </c>
      <c r="J292" s="32" t="b">
        <f aca="false">FALSE()</f>
        <v>0</v>
      </c>
      <c r="K292" s="32" t="b">
        <f aca="false">FALSE()</f>
        <v>0</v>
      </c>
      <c r="L292" s="7" t="s">
        <v>445</v>
      </c>
      <c r="M292" s="7" t="s">
        <v>452</v>
      </c>
      <c r="N292" s="7" t="s">
        <v>453</v>
      </c>
      <c r="O292" s="7"/>
      <c r="P292" s="7"/>
      <c r="Q292" s="7"/>
      <c r="R292" s="7"/>
    </row>
    <row r="293" customFormat="false" ht="15" hidden="false" customHeight="false" outlineLevel="0" collapsed="false">
      <c r="A293" s="7" t="s">
        <v>537</v>
      </c>
      <c r="B293" s="7" t="s">
        <v>63</v>
      </c>
      <c r="C293" s="7" t="n">
        <v>76671.1</v>
      </c>
      <c r="D293" s="7" t="n">
        <v>76571.4</v>
      </c>
      <c r="E293" s="7" t="n">
        <v>0.0013020527246466</v>
      </c>
      <c r="F293" s="7" t="s">
        <v>450</v>
      </c>
      <c r="G293" s="7" t="s">
        <v>451</v>
      </c>
      <c r="H293" s="7" t="s">
        <v>450</v>
      </c>
      <c r="I293" s="32" t="b">
        <f aca="false">FALSE()</f>
        <v>0</v>
      </c>
      <c r="J293" s="32" t="b">
        <f aca="false">FALSE()</f>
        <v>0</v>
      </c>
      <c r="K293" s="32" t="b">
        <f aca="false">FALSE()</f>
        <v>0</v>
      </c>
      <c r="L293" s="7" t="s">
        <v>445</v>
      </c>
      <c r="M293" s="7" t="s">
        <v>452</v>
      </c>
      <c r="N293" s="7" t="s">
        <v>453</v>
      </c>
      <c r="O293" s="7"/>
      <c r="P293" s="7"/>
      <c r="Q293" s="7"/>
      <c r="R293" s="7"/>
    </row>
    <row r="294" customFormat="false" ht="15" hidden="false" customHeight="false" outlineLevel="0" collapsed="false">
      <c r="A294" s="7" t="s">
        <v>537</v>
      </c>
      <c r="B294" s="7" t="s">
        <v>64</v>
      </c>
      <c r="C294" s="7" t="n">
        <v>76961.3</v>
      </c>
      <c r="D294" s="7" t="n">
        <v>76641.7</v>
      </c>
      <c r="E294" s="7" t="n">
        <v>0.0041700536392069</v>
      </c>
      <c r="F294" s="7" t="s">
        <v>450</v>
      </c>
      <c r="G294" s="7" t="s">
        <v>451</v>
      </c>
      <c r="H294" s="7" t="s">
        <v>450</v>
      </c>
      <c r="I294" s="32" t="b">
        <f aca="false">FALSE()</f>
        <v>0</v>
      </c>
      <c r="J294" s="32" t="b">
        <f aca="false">FALSE()</f>
        <v>0</v>
      </c>
      <c r="K294" s="32" t="b">
        <f aca="false">FALSE()</f>
        <v>0</v>
      </c>
      <c r="L294" s="7" t="s">
        <v>445</v>
      </c>
      <c r="M294" s="7" t="s">
        <v>452</v>
      </c>
      <c r="N294" s="7" t="s">
        <v>453</v>
      </c>
      <c r="O294" s="7"/>
      <c r="P294" s="7"/>
      <c r="Q294" s="7"/>
      <c r="R294" s="7"/>
    </row>
    <row r="295" customFormat="false" ht="15" hidden="false" customHeight="false" outlineLevel="0" collapsed="false">
      <c r="A295" s="7" t="s">
        <v>318</v>
      </c>
      <c r="B295" s="7" t="s">
        <v>63</v>
      </c>
      <c r="C295" s="7" t="n">
        <v>75938</v>
      </c>
      <c r="D295" s="7" t="n">
        <v>75810.3</v>
      </c>
      <c r="E295" s="7" t="n">
        <v>0.0016844676778748</v>
      </c>
      <c r="F295" s="7" t="s">
        <v>60</v>
      </c>
      <c r="G295" s="7" t="s">
        <v>448</v>
      </c>
      <c r="H295" s="7" t="s">
        <v>67</v>
      </c>
      <c r="I295" s="32" t="b">
        <f aca="false">FALSE()</f>
        <v>0</v>
      </c>
      <c r="J295" s="32" t="b">
        <f aca="false">TRUE()</f>
        <v>1</v>
      </c>
      <c r="K295" s="32" t="b">
        <f aca="false">FALSE()</f>
        <v>0</v>
      </c>
      <c r="L295" s="7" t="s">
        <v>445</v>
      </c>
      <c r="M295" s="7" t="s">
        <v>446</v>
      </c>
      <c r="N295" s="7" t="s">
        <v>476</v>
      </c>
      <c r="O295" s="7" t="n">
        <v>75868.02</v>
      </c>
      <c r="P295" s="7" t="n">
        <v>76279.72</v>
      </c>
      <c r="Q295" s="7" t="n">
        <v>16.05</v>
      </c>
      <c r="R295" s="7" t="s">
        <v>69</v>
      </c>
    </row>
    <row r="296" customFormat="false" ht="15" hidden="false" customHeight="false" outlineLevel="0" collapsed="false">
      <c r="A296" s="7" t="s">
        <v>318</v>
      </c>
      <c r="B296" s="7" t="s">
        <v>64</v>
      </c>
      <c r="C296" s="7" t="n">
        <v>75298.8</v>
      </c>
      <c r="D296" s="7" t="n">
        <v>74839.1</v>
      </c>
      <c r="E296" s="7" t="n">
        <v>0.0061425110670758</v>
      </c>
      <c r="F296" s="7" t="s">
        <v>60</v>
      </c>
      <c r="G296" s="7" t="s">
        <v>459</v>
      </c>
      <c r="H296" s="7" t="s">
        <v>66</v>
      </c>
      <c r="I296" s="32" t="b">
        <f aca="false">FALSE()</f>
        <v>0</v>
      </c>
      <c r="J296" s="32" t="b">
        <f aca="false">TRUE()</f>
        <v>1</v>
      </c>
      <c r="K296" s="32" t="b">
        <f aca="false">FALSE()</f>
        <v>0</v>
      </c>
      <c r="L296" s="7" t="s">
        <v>445</v>
      </c>
      <c r="M296" s="7" t="s">
        <v>446</v>
      </c>
      <c r="N296" s="7" t="s">
        <v>465</v>
      </c>
      <c r="O296" s="7" t="n">
        <v>75069.31</v>
      </c>
      <c r="P296" s="7" t="n">
        <v>74502.32</v>
      </c>
      <c r="Q296" s="7" t="n">
        <v>23.07</v>
      </c>
      <c r="R296" s="7" t="s">
        <v>69</v>
      </c>
    </row>
    <row r="297" customFormat="false" ht="15" hidden="false" customHeight="false" outlineLevel="0" collapsed="false">
      <c r="A297" s="7" t="s">
        <v>319</v>
      </c>
      <c r="B297" s="7" t="s">
        <v>63</v>
      </c>
      <c r="C297" s="7" t="n">
        <v>73485</v>
      </c>
      <c r="D297" s="7" t="n">
        <v>73229.7</v>
      </c>
      <c r="E297" s="7" t="n">
        <v>0.0034862903985678</v>
      </c>
      <c r="F297" s="7" t="s">
        <v>60</v>
      </c>
      <c r="G297" s="7" t="s">
        <v>448</v>
      </c>
      <c r="H297" s="7" t="s">
        <v>67</v>
      </c>
      <c r="I297" s="32" t="b">
        <f aca="false">FALSE()</f>
        <v>0</v>
      </c>
      <c r="J297" s="32" t="b">
        <f aca="false">TRUE()</f>
        <v>1</v>
      </c>
      <c r="K297" s="32" t="b">
        <f aca="false">FALSE()</f>
        <v>0</v>
      </c>
      <c r="L297" s="7" t="s">
        <v>445</v>
      </c>
      <c r="M297" s="7" t="s">
        <v>446</v>
      </c>
      <c r="N297" s="7" t="s">
        <v>449</v>
      </c>
      <c r="O297" s="7" t="n">
        <v>73452.31</v>
      </c>
      <c r="P297" s="7" t="n">
        <v>73815.68</v>
      </c>
      <c r="Q297" s="7" t="n">
        <v>23.25</v>
      </c>
      <c r="R297" s="7" t="s">
        <v>69</v>
      </c>
    </row>
    <row r="298" customFormat="false" ht="15" hidden="false" customHeight="false" outlineLevel="0" collapsed="false">
      <c r="A298" s="7" t="s">
        <v>319</v>
      </c>
      <c r="B298" s="7" t="s">
        <v>64</v>
      </c>
      <c r="C298" s="7" t="n">
        <v>73136</v>
      </c>
      <c r="D298" s="7" t="n">
        <v>72739.2</v>
      </c>
      <c r="E298" s="7" t="n">
        <v>0.0054551053627205</v>
      </c>
      <c r="F298" s="7" t="s">
        <v>450</v>
      </c>
      <c r="G298" s="7" t="s">
        <v>451</v>
      </c>
      <c r="H298" s="7" t="s">
        <v>450</v>
      </c>
      <c r="I298" s="32" t="b">
        <f aca="false">FALSE()</f>
        <v>0</v>
      </c>
      <c r="J298" s="32" t="b">
        <f aca="false">FALSE()</f>
        <v>0</v>
      </c>
      <c r="K298" s="32" t="b">
        <f aca="false">FALSE()</f>
        <v>0</v>
      </c>
      <c r="L298" s="7" t="s">
        <v>445</v>
      </c>
      <c r="M298" s="7" t="s">
        <v>452</v>
      </c>
      <c r="N298" s="7" t="s">
        <v>453</v>
      </c>
      <c r="O298" s="7"/>
      <c r="P298" s="7"/>
      <c r="Q298" s="7"/>
      <c r="R298" s="7"/>
    </row>
    <row r="299" customFormat="false" ht="15" hidden="false" customHeight="false" outlineLevel="0" collapsed="false">
      <c r="A299" s="7" t="s">
        <v>320</v>
      </c>
      <c r="B299" s="7" t="s">
        <v>63</v>
      </c>
      <c r="C299" s="7" t="n">
        <v>73734.7</v>
      </c>
      <c r="D299" s="7" t="n">
        <v>73351.8</v>
      </c>
      <c r="E299" s="7" t="n">
        <v>0.0052200491330818</v>
      </c>
      <c r="F299" s="7" t="s">
        <v>60</v>
      </c>
      <c r="G299" s="7" t="s">
        <v>459</v>
      </c>
      <c r="H299" s="7" t="s">
        <v>66</v>
      </c>
      <c r="I299" s="32" t="b">
        <f aca="false">FALSE()</f>
        <v>0</v>
      </c>
      <c r="J299" s="32" t="b">
        <f aca="false">TRUE()</f>
        <v>1</v>
      </c>
      <c r="K299" s="32" t="b">
        <f aca="false">FALSE()</f>
        <v>0</v>
      </c>
      <c r="L299" s="7" t="s">
        <v>445</v>
      </c>
      <c r="M299" s="7" t="s">
        <v>446</v>
      </c>
      <c r="N299" s="7" t="s">
        <v>465</v>
      </c>
      <c r="O299" s="7" t="n">
        <v>73502.8</v>
      </c>
      <c r="P299" s="7" t="n">
        <v>73021.72</v>
      </c>
      <c r="Q299" s="7" t="n">
        <v>18.8</v>
      </c>
      <c r="R299" s="7" t="s">
        <v>69</v>
      </c>
    </row>
    <row r="300" customFormat="false" ht="15" hidden="false" customHeight="false" outlineLevel="0" collapsed="false">
      <c r="A300" s="7" t="s">
        <v>320</v>
      </c>
      <c r="B300" s="7" t="s">
        <v>64</v>
      </c>
      <c r="C300" s="7" t="n">
        <v>73280.7</v>
      </c>
      <c r="D300" s="7" t="n">
        <v>72866</v>
      </c>
      <c r="E300" s="7" t="n">
        <v>0.0056912689045645</v>
      </c>
      <c r="F300" s="7" t="s">
        <v>60</v>
      </c>
      <c r="G300" s="7" t="s">
        <v>448</v>
      </c>
      <c r="H300" s="7" t="s">
        <v>67</v>
      </c>
      <c r="I300" s="32" t="b">
        <f aca="false">FALSE()</f>
        <v>0</v>
      </c>
      <c r="J300" s="32" t="b">
        <f aca="false">TRUE()</f>
        <v>1</v>
      </c>
      <c r="K300" s="32" t="b">
        <f aca="false">FALSE()</f>
        <v>0</v>
      </c>
      <c r="L300" s="7" t="s">
        <v>445</v>
      </c>
      <c r="M300" s="7" t="s">
        <v>446</v>
      </c>
      <c r="N300" s="7" t="s">
        <v>472</v>
      </c>
      <c r="O300" s="7" t="n">
        <v>73099.98</v>
      </c>
      <c r="P300" s="7" t="n">
        <v>73610.46</v>
      </c>
      <c r="Q300" s="7" t="n">
        <v>51.88</v>
      </c>
      <c r="R300" s="7" t="s">
        <v>69</v>
      </c>
    </row>
    <row r="301" customFormat="false" ht="15" hidden="false" customHeight="false" outlineLevel="0" collapsed="false">
      <c r="A301" s="7" t="s">
        <v>321</v>
      </c>
      <c r="B301" s="7" t="s">
        <v>63</v>
      </c>
      <c r="C301" s="7" t="n">
        <v>73546.2</v>
      </c>
      <c r="D301" s="7" t="n">
        <v>73460.1</v>
      </c>
      <c r="E301" s="7" t="n">
        <v>0.0011720648351961</v>
      </c>
      <c r="F301" s="7" t="s">
        <v>60</v>
      </c>
      <c r="G301" s="7" t="s">
        <v>459</v>
      </c>
      <c r="H301" s="7" t="s">
        <v>66</v>
      </c>
      <c r="I301" s="32" t="b">
        <f aca="false">FALSE()</f>
        <v>0</v>
      </c>
      <c r="J301" s="32" t="b">
        <f aca="false">TRUE()</f>
        <v>1</v>
      </c>
      <c r="K301" s="32" t="b">
        <f aca="false">FALSE()</f>
        <v>0</v>
      </c>
      <c r="L301" s="7" t="s">
        <v>445</v>
      </c>
      <c r="M301" s="7" t="s">
        <v>446</v>
      </c>
      <c r="N301" s="7" t="s">
        <v>465</v>
      </c>
      <c r="O301" s="7" t="n">
        <v>73528.7</v>
      </c>
      <c r="P301" s="7" t="n">
        <v>73129.53</v>
      </c>
      <c r="Q301" s="7" t="n">
        <v>14.46</v>
      </c>
      <c r="R301" s="7" t="s">
        <v>71</v>
      </c>
    </row>
    <row r="302" customFormat="false" ht="15" hidden="false" customHeight="false" outlineLevel="0" collapsed="false">
      <c r="A302" s="7" t="s">
        <v>321</v>
      </c>
      <c r="B302" s="7" t="s">
        <v>64</v>
      </c>
      <c r="C302" s="7" t="n">
        <v>73747</v>
      </c>
      <c r="D302" s="7" t="n">
        <v>73638.2</v>
      </c>
      <c r="E302" s="7" t="n">
        <v>0.0014774940180504</v>
      </c>
      <c r="F302" s="7" t="s">
        <v>59</v>
      </c>
      <c r="G302" s="7" t="s">
        <v>444</v>
      </c>
      <c r="H302" s="7" t="s">
        <v>66</v>
      </c>
      <c r="I302" s="32" t="b">
        <f aca="false">TRUE()</f>
        <v>1</v>
      </c>
      <c r="J302" s="32" t="b">
        <f aca="false">FALSE()</f>
        <v>0</v>
      </c>
      <c r="K302" s="32" t="b">
        <f aca="false">FALSE()</f>
        <v>0</v>
      </c>
      <c r="L302" s="7" t="s">
        <v>445</v>
      </c>
      <c r="M302" s="7" t="s">
        <v>446</v>
      </c>
      <c r="N302" s="7" t="s">
        <v>471</v>
      </c>
      <c r="O302" s="7" t="n">
        <v>73819.66</v>
      </c>
      <c r="P302" s="7" t="n">
        <v>73636.38</v>
      </c>
      <c r="Q302" s="7" t="n">
        <v>2.74</v>
      </c>
      <c r="R302" s="7" t="s">
        <v>69</v>
      </c>
    </row>
    <row r="303" customFormat="false" ht="15" hidden="false" customHeight="false" outlineLevel="0" collapsed="false">
      <c r="A303" s="7" t="s">
        <v>322</v>
      </c>
      <c r="B303" s="7" t="s">
        <v>63</v>
      </c>
      <c r="C303" s="7" t="n">
        <v>73877.7</v>
      </c>
      <c r="D303" s="7" t="n">
        <v>73793.2</v>
      </c>
      <c r="E303" s="7" t="n">
        <v>0.0011450919596927</v>
      </c>
      <c r="F303" s="7" t="s">
        <v>60</v>
      </c>
      <c r="G303" s="7" t="s">
        <v>448</v>
      </c>
      <c r="H303" s="7" t="s">
        <v>67</v>
      </c>
      <c r="I303" s="32" t="b">
        <f aca="false">FALSE()</f>
        <v>0</v>
      </c>
      <c r="J303" s="32" t="b">
        <f aca="false">TRUE()</f>
        <v>1</v>
      </c>
      <c r="K303" s="32" t="b">
        <f aca="false">FALSE()</f>
        <v>0</v>
      </c>
      <c r="L303" s="7" t="s">
        <v>445</v>
      </c>
      <c r="M303" s="7" t="s">
        <v>446</v>
      </c>
      <c r="N303" s="7" t="s">
        <v>469</v>
      </c>
      <c r="O303" s="7" t="n">
        <v>73818.43</v>
      </c>
      <c r="P303" s="7" t="n">
        <v>74210.15</v>
      </c>
      <c r="Q303" s="7" t="n">
        <v>-35.48</v>
      </c>
      <c r="R303" s="7" t="s">
        <v>71</v>
      </c>
    </row>
    <row r="304" customFormat="false" ht="15" hidden="false" customHeight="false" outlineLevel="0" collapsed="false">
      <c r="A304" s="7" t="s">
        <v>322</v>
      </c>
      <c r="B304" s="7" t="s">
        <v>64</v>
      </c>
      <c r="C304" s="7" t="n">
        <v>73944.1</v>
      </c>
      <c r="D304" s="7" t="n">
        <v>73850</v>
      </c>
      <c r="E304" s="7" t="n">
        <v>0.0012742044685173</v>
      </c>
      <c r="F304" s="7" t="s">
        <v>450</v>
      </c>
      <c r="G304" s="7" t="s">
        <v>451</v>
      </c>
      <c r="H304" s="7" t="s">
        <v>450</v>
      </c>
      <c r="I304" s="32" t="b">
        <f aca="false">FALSE()</f>
        <v>0</v>
      </c>
      <c r="J304" s="32" t="b">
        <f aca="false">FALSE()</f>
        <v>0</v>
      </c>
      <c r="K304" s="32" t="b">
        <f aca="false">FALSE()</f>
        <v>0</v>
      </c>
      <c r="L304" s="7" t="s">
        <v>445</v>
      </c>
      <c r="M304" s="7" t="s">
        <v>452</v>
      </c>
      <c r="N304" s="7" t="s">
        <v>453</v>
      </c>
      <c r="O304" s="7"/>
      <c r="P304" s="7"/>
      <c r="Q304" s="7"/>
      <c r="R304" s="7"/>
    </row>
    <row r="305" customFormat="false" ht="15" hidden="false" customHeight="false" outlineLevel="0" collapsed="false">
      <c r="A305" s="7" t="s">
        <v>323</v>
      </c>
      <c r="B305" s="7" t="s">
        <v>63</v>
      </c>
      <c r="C305" s="7" t="n">
        <v>72967.9</v>
      </c>
      <c r="D305" s="7" t="n">
        <v>72830</v>
      </c>
      <c r="E305" s="7" t="n">
        <v>0.001893450501167</v>
      </c>
      <c r="F305" s="7" t="s">
        <v>450</v>
      </c>
      <c r="G305" s="7" t="s">
        <v>451</v>
      </c>
      <c r="H305" s="7" t="s">
        <v>450</v>
      </c>
      <c r="I305" s="32" t="b">
        <f aca="false">FALSE()</f>
        <v>0</v>
      </c>
      <c r="J305" s="32" t="b">
        <f aca="false">FALSE()</f>
        <v>0</v>
      </c>
      <c r="K305" s="32" t="b">
        <f aca="false">FALSE()</f>
        <v>0</v>
      </c>
      <c r="L305" s="7" t="s">
        <v>445</v>
      </c>
      <c r="M305" s="7" t="s">
        <v>452</v>
      </c>
      <c r="N305" s="7" t="s">
        <v>453</v>
      </c>
      <c r="O305" s="7"/>
      <c r="P305" s="7"/>
      <c r="Q305" s="7"/>
      <c r="R305" s="7"/>
    </row>
    <row r="306" customFormat="false" ht="15" hidden="false" customHeight="false" outlineLevel="0" collapsed="false">
      <c r="A306" s="7" t="s">
        <v>323</v>
      </c>
      <c r="B306" s="7" t="s">
        <v>64</v>
      </c>
      <c r="C306" s="7" t="n">
        <v>72043.3</v>
      </c>
      <c r="D306" s="7" t="n">
        <v>71548</v>
      </c>
      <c r="E306" s="7" t="n">
        <v>0.0069226253703807</v>
      </c>
      <c r="F306" s="7" t="s">
        <v>60</v>
      </c>
      <c r="G306" s="7" t="s">
        <v>448</v>
      </c>
      <c r="H306" s="7" t="s">
        <v>67</v>
      </c>
      <c r="I306" s="32" t="b">
        <f aca="false">FALSE()</f>
        <v>0</v>
      </c>
      <c r="J306" s="32" t="b">
        <f aca="false">TRUE()</f>
        <v>1</v>
      </c>
      <c r="K306" s="32" t="b">
        <f aca="false">FALSE()</f>
        <v>0</v>
      </c>
      <c r="L306" s="7" t="s">
        <v>445</v>
      </c>
      <c r="M306" s="7" t="s">
        <v>446</v>
      </c>
      <c r="N306" s="7" t="s">
        <v>469</v>
      </c>
      <c r="O306" s="7" t="n">
        <v>71684.46</v>
      </c>
      <c r="P306" s="7" t="n">
        <v>72367.49</v>
      </c>
      <c r="Q306" s="7" t="n">
        <v>33.08</v>
      </c>
      <c r="R306" s="7" t="s">
        <v>69</v>
      </c>
    </row>
    <row r="307" customFormat="false" ht="15" hidden="false" customHeight="false" outlineLevel="0" collapsed="false">
      <c r="A307" s="7" t="s">
        <v>324</v>
      </c>
      <c r="B307" s="7" t="s">
        <v>63</v>
      </c>
      <c r="C307" s="7" t="n">
        <v>70216</v>
      </c>
      <c r="D307" s="7" t="n">
        <v>69869.3</v>
      </c>
      <c r="E307" s="7" t="n">
        <v>0.0049621221337554</v>
      </c>
      <c r="F307" s="7" t="s">
        <v>60</v>
      </c>
      <c r="G307" s="7" t="s">
        <v>459</v>
      </c>
      <c r="H307" s="7" t="s">
        <v>66</v>
      </c>
      <c r="I307" s="32" t="b">
        <f aca="false">FALSE()</f>
        <v>0</v>
      </c>
      <c r="J307" s="32" t="b">
        <f aca="false">TRUE()</f>
        <v>1</v>
      </c>
      <c r="K307" s="32" t="b">
        <f aca="false">FALSE()</f>
        <v>0</v>
      </c>
      <c r="L307" s="7" t="s">
        <v>445</v>
      </c>
      <c r="M307" s="7" t="s">
        <v>446</v>
      </c>
      <c r="N307" s="7" t="s">
        <v>460</v>
      </c>
      <c r="O307" s="7" t="n">
        <v>70011.5</v>
      </c>
      <c r="P307" s="7" t="n">
        <v>69554.89</v>
      </c>
      <c r="Q307" s="7" t="n">
        <v>-97.43</v>
      </c>
      <c r="R307" s="7" t="s">
        <v>70</v>
      </c>
    </row>
    <row r="308" customFormat="false" ht="15" hidden="false" customHeight="false" outlineLevel="0" collapsed="false">
      <c r="A308" s="7" t="s">
        <v>324</v>
      </c>
      <c r="B308" s="7" t="s">
        <v>64</v>
      </c>
      <c r="C308" s="7" t="n">
        <v>69090</v>
      </c>
      <c r="D308" s="7" t="n">
        <v>68746</v>
      </c>
      <c r="E308" s="7" t="n">
        <v>0.0050039275012364</v>
      </c>
      <c r="F308" s="7" t="s">
        <v>61</v>
      </c>
      <c r="G308" s="7" t="s">
        <v>455</v>
      </c>
      <c r="H308" s="7" t="s">
        <v>67</v>
      </c>
      <c r="I308" s="32" t="b">
        <f aca="false">TRUE()</f>
        <v>1</v>
      </c>
      <c r="J308" s="32" t="b">
        <f aca="false">FALSE()</f>
        <v>0</v>
      </c>
      <c r="K308" s="32" t="b">
        <f aca="false">FALSE()</f>
        <v>0</v>
      </c>
      <c r="L308" s="7" t="s">
        <v>445</v>
      </c>
      <c r="M308" s="7" t="s">
        <v>446</v>
      </c>
      <c r="N308" s="7" t="s">
        <v>456</v>
      </c>
      <c r="O308" s="7" t="n">
        <v>67986.3</v>
      </c>
      <c r="P308" s="7" t="n">
        <v>68849.12</v>
      </c>
      <c r="Q308" s="7" t="n">
        <v>56.39</v>
      </c>
      <c r="R308" s="7" t="s">
        <v>69</v>
      </c>
    </row>
    <row r="309" customFormat="false" ht="15" hidden="false" customHeight="false" outlineLevel="0" collapsed="false">
      <c r="A309" s="7" t="s">
        <v>325</v>
      </c>
      <c r="B309" s="7" t="s">
        <v>63</v>
      </c>
      <c r="C309" s="7" t="n">
        <v>67251.2</v>
      </c>
      <c r="D309" s="7" t="n">
        <v>67040</v>
      </c>
      <c r="E309" s="7" t="n">
        <v>0.0031503579952266</v>
      </c>
      <c r="F309" s="7" t="s">
        <v>60</v>
      </c>
      <c r="G309" s="7" t="s">
        <v>448</v>
      </c>
      <c r="H309" s="7" t="s">
        <v>67</v>
      </c>
      <c r="I309" s="32" t="b">
        <f aca="false">FALSE()</f>
        <v>0</v>
      </c>
      <c r="J309" s="32" t="b">
        <f aca="false">TRUE()</f>
        <v>1</v>
      </c>
      <c r="K309" s="32" t="b">
        <f aca="false">FALSE()</f>
        <v>0</v>
      </c>
      <c r="L309" s="7" t="s">
        <v>445</v>
      </c>
      <c r="M309" s="7" t="s">
        <v>446</v>
      </c>
      <c r="N309" s="7" t="s">
        <v>449</v>
      </c>
      <c r="O309" s="7" t="n">
        <v>67173.26</v>
      </c>
      <c r="P309" s="7" t="n">
        <v>67553.83</v>
      </c>
      <c r="Q309" s="7" t="n">
        <v>9.68</v>
      </c>
      <c r="R309" s="7" t="s">
        <v>69</v>
      </c>
    </row>
    <row r="310" customFormat="false" ht="15" hidden="false" customHeight="false" outlineLevel="0" collapsed="false">
      <c r="A310" s="7" t="s">
        <v>325</v>
      </c>
      <c r="B310" s="7" t="s">
        <v>64</v>
      </c>
      <c r="C310" s="7" t="n">
        <v>67175</v>
      </c>
      <c r="D310" s="7" t="n">
        <v>66682.9</v>
      </c>
      <c r="E310" s="7" t="n">
        <v>0.0073797030423092</v>
      </c>
      <c r="F310" s="7" t="s">
        <v>60</v>
      </c>
      <c r="G310" s="7" t="s">
        <v>459</v>
      </c>
      <c r="H310" s="7" t="s">
        <v>66</v>
      </c>
      <c r="I310" s="32" t="b">
        <f aca="false">FALSE()</f>
        <v>0</v>
      </c>
      <c r="J310" s="32" t="b">
        <f aca="false">TRUE()</f>
        <v>1</v>
      </c>
      <c r="K310" s="32" t="b">
        <f aca="false">FALSE()</f>
        <v>0</v>
      </c>
      <c r="L310" s="7" t="s">
        <v>445</v>
      </c>
      <c r="M310" s="7" t="s">
        <v>446</v>
      </c>
      <c r="N310" s="7" t="s">
        <v>465</v>
      </c>
      <c r="O310" s="7" t="n">
        <v>66898.18</v>
      </c>
      <c r="P310" s="7" t="n">
        <v>66382.83</v>
      </c>
      <c r="Q310" s="7" t="n">
        <v>-107.12</v>
      </c>
      <c r="R310" s="7" t="s">
        <v>70</v>
      </c>
    </row>
    <row r="311" customFormat="false" ht="15" hidden="false" customHeight="false" outlineLevel="0" collapsed="false">
      <c r="A311" s="7" t="s">
        <v>538</v>
      </c>
      <c r="B311" s="7" t="s">
        <v>63</v>
      </c>
      <c r="C311" s="7" t="n">
        <v>64014</v>
      </c>
      <c r="D311" s="7" t="n">
        <v>63660</v>
      </c>
      <c r="E311" s="7" t="n">
        <v>0.0055607917059377</v>
      </c>
      <c r="F311" s="7" t="s">
        <v>450</v>
      </c>
      <c r="G311" s="7" t="s">
        <v>451</v>
      </c>
      <c r="H311" s="7" t="s">
        <v>450</v>
      </c>
      <c r="I311" s="32" t="b">
        <f aca="false">FALSE()</f>
        <v>0</v>
      </c>
      <c r="J311" s="32" t="b">
        <f aca="false">FALSE()</f>
        <v>0</v>
      </c>
      <c r="K311" s="32" t="b">
        <f aca="false">FALSE()</f>
        <v>0</v>
      </c>
      <c r="L311" s="7" t="s">
        <v>445</v>
      </c>
      <c r="M311" s="7" t="s">
        <v>452</v>
      </c>
      <c r="N311" s="7" t="s">
        <v>453</v>
      </c>
      <c r="O311" s="7"/>
      <c r="P311" s="7"/>
      <c r="Q311" s="7"/>
      <c r="R311" s="7"/>
    </row>
    <row r="312" customFormat="false" ht="15" hidden="false" customHeight="false" outlineLevel="0" collapsed="false">
      <c r="A312" s="7" t="s">
        <v>538</v>
      </c>
      <c r="B312" s="7" t="s">
        <v>64</v>
      </c>
      <c r="C312" s="7" t="n">
        <v>64223.1</v>
      </c>
      <c r="D312" s="7" t="n">
        <v>63159.7</v>
      </c>
      <c r="E312" s="7" t="n">
        <v>0.0168366854180751</v>
      </c>
      <c r="F312" s="7" t="s">
        <v>450</v>
      </c>
      <c r="G312" s="7" t="s">
        <v>451</v>
      </c>
      <c r="H312" s="7" t="s">
        <v>450</v>
      </c>
      <c r="I312" s="32" t="b">
        <f aca="false">FALSE()</f>
        <v>0</v>
      </c>
      <c r="J312" s="32" t="b">
        <f aca="false">FALSE()</f>
        <v>0</v>
      </c>
      <c r="K312" s="32" t="b">
        <f aca="false">FALSE()</f>
        <v>0</v>
      </c>
      <c r="L312" s="7" t="s">
        <v>445</v>
      </c>
      <c r="M312" s="7" t="s">
        <v>452</v>
      </c>
      <c r="N312" s="7" t="s">
        <v>453</v>
      </c>
      <c r="O312" s="7"/>
      <c r="P312" s="7"/>
      <c r="Q312" s="7"/>
      <c r="R312" s="7"/>
    </row>
    <row r="313" customFormat="false" ht="15" hidden="false" customHeight="false" outlineLevel="0" collapsed="false">
      <c r="A313" s="7" t="s">
        <v>326</v>
      </c>
      <c r="B313" s="7" t="s">
        <v>63</v>
      </c>
      <c r="C313" s="7" t="n">
        <v>62869.9</v>
      </c>
      <c r="D313" s="7" t="n">
        <v>62154.3</v>
      </c>
      <c r="E313" s="7" t="n">
        <v>0.0115132822668745</v>
      </c>
      <c r="F313" s="7" t="s">
        <v>59</v>
      </c>
      <c r="G313" s="7" t="s">
        <v>444</v>
      </c>
      <c r="H313" s="7" t="s">
        <v>66</v>
      </c>
      <c r="I313" s="32" t="b">
        <f aca="false">TRUE()</f>
        <v>1</v>
      </c>
      <c r="J313" s="32" t="b">
        <f aca="false">FALSE()</f>
        <v>0</v>
      </c>
      <c r="K313" s="32" t="b">
        <f aca="false">FALSE()</f>
        <v>0</v>
      </c>
      <c r="L313" s="7" t="s">
        <v>445</v>
      </c>
      <c r="M313" s="7" t="s">
        <v>446</v>
      </c>
      <c r="N313" s="7" t="s">
        <v>447</v>
      </c>
      <c r="O313" s="7" t="n">
        <v>63088.12</v>
      </c>
      <c r="P313" s="7" t="n">
        <v>62775.6</v>
      </c>
      <c r="Q313" s="7" t="n">
        <v>-105.47</v>
      </c>
      <c r="R313" s="7" t="s">
        <v>70</v>
      </c>
    </row>
    <row r="314" customFormat="false" ht="15" hidden="false" customHeight="false" outlineLevel="0" collapsed="false">
      <c r="A314" s="7" t="s">
        <v>326</v>
      </c>
      <c r="B314" s="7" t="s">
        <v>64</v>
      </c>
      <c r="C314" s="7" t="n">
        <v>62310</v>
      </c>
      <c r="D314" s="7" t="n">
        <v>61644.9</v>
      </c>
      <c r="E314" s="7" t="n">
        <v>0.0107892137062433</v>
      </c>
      <c r="F314" s="7" t="s">
        <v>59</v>
      </c>
      <c r="G314" s="7" t="s">
        <v>444</v>
      </c>
      <c r="H314" s="7" t="s">
        <v>67</v>
      </c>
      <c r="I314" s="32" t="b">
        <f aca="false">TRUE()</f>
        <v>1</v>
      </c>
      <c r="J314" s="32" t="b">
        <f aca="false">FALSE()</f>
        <v>0</v>
      </c>
      <c r="K314" s="32" t="b">
        <f aca="false">FALSE()</f>
        <v>0</v>
      </c>
      <c r="L314" s="7" t="s">
        <v>445</v>
      </c>
      <c r="M314" s="7" t="s">
        <v>446</v>
      </c>
      <c r="N314" s="7" t="s">
        <v>539</v>
      </c>
      <c r="O314" s="7" t="n">
        <v>60688.26</v>
      </c>
      <c r="P314" s="7" t="n">
        <v>61737.37</v>
      </c>
      <c r="Q314" s="7" t="n">
        <v>29.51</v>
      </c>
      <c r="R314" s="7" t="s">
        <v>69</v>
      </c>
    </row>
    <row r="315" customFormat="false" ht="15" hidden="false" customHeight="false" outlineLevel="0" collapsed="false">
      <c r="A315" s="7" t="s">
        <v>327</v>
      </c>
      <c r="B315" s="7" t="s">
        <v>63</v>
      </c>
      <c r="C315" s="7" t="n">
        <v>61070</v>
      </c>
      <c r="D315" s="7" t="n">
        <v>60843.6</v>
      </c>
      <c r="E315" s="7" t="n">
        <v>0.0037210158504756</v>
      </c>
      <c r="F315" s="7" t="s">
        <v>60</v>
      </c>
      <c r="G315" s="7" t="s">
        <v>448</v>
      </c>
      <c r="H315" s="7" t="s">
        <v>67</v>
      </c>
      <c r="I315" s="32" t="b">
        <f aca="false">FALSE()</f>
        <v>0</v>
      </c>
      <c r="J315" s="32" t="b">
        <f aca="false">TRUE()</f>
        <v>1</v>
      </c>
      <c r="K315" s="32" t="b">
        <f aca="false">FALSE()</f>
        <v>0</v>
      </c>
      <c r="L315" s="7" t="s">
        <v>445</v>
      </c>
      <c r="M315" s="7" t="s">
        <v>446</v>
      </c>
      <c r="N315" s="7" t="s">
        <v>472</v>
      </c>
      <c r="O315" s="7" t="n">
        <v>60963</v>
      </c>
      <c r="P315" s="7" t="n">
        <v>61344.81</v>
      </c>
      <c r="Q315" s="7" t="n">
        <v>-82.05</v>
      </c>
      <c r="R315" s="7" t="s">
        <v>70</v>
      </c>
    </row>
    <row r="316" customFormat="false" ht="15" hidden="false" customHeight="false" outlineLevel="0" collapsed="false">
      <c r="A316" s="7" t="s">
        <v>327</v>
      </c>
      <c r="B316" s="7" t="s">
        <v>64</v>
      </c>
      <c r="C316" s="7" t="n">
        <v>60874.5</v>
      </c>
      <c r="D316" s="7" t="n">
        <v>60668.8</v>
      </c>
      <c r="E316" s="7" t="n">
        <v>0.0033905401128751</v>
      </c>
      <c r="F316" s="7" t="s">
        <v>60</v>
      </c>
      <c r="G316" s="7" t="s">
        <v>448</v>
      </c>
      <c r="H316" s="7" t="s">
        <v>67</v>
      </c>
      <c r="I316" s="32" t="b">
        <f aca="false">FALSE()</f>
        <v>0</v>
      </c>
      <c r="J316" s="32" t="b">
        <f aca="false">TRUE()</f>
        <v>1</v>
      </c>
      <c r="K316" s="32" t="b">
        <f aca="false">FALSE()</f>
        <v>0</v>
      </c>
      <c r="L316" s="7" t="s">
        <v>445</v>
      </c>
      <c r="M316" s="7" t="s">
        <v>446</v>
      </c>
      <c r="N316" s="7" t="s">
        <v>472</v>
      </c>
      <c r="O316" s="7" t="n">
        <v>60767.34</v>
      </c>
      <c r="P316" s="7" t="n">
        <v>61148.44</v>
      </c>
      <c r="Q316" s="7" t="n">
        <v>15.23</v>
      </c>
      <c r="R316" s="7" t="s">
        <v>69</v>
      </c>
    </row>
    <row r="317" customFormat="false" ht="15" hidden="false" customHeight="false" outlineLevel="0" collapsed="false">
      <c r="A317" s="7" t="s">
        <v>328</v>
      </c>
      <c r="B317" s="7" t="s">
        <v>63</v>
      </c>
      <c r="C317" s="7" t="n">
        <v>62239.3</v>
      </c>
      <c r="D317" s="7" t="n">
        <v>62154.6</v>
      </c>
      <c r="E317" s="7" t="n">
        <v>0.0013627309965795</v>
      </c>
      <c r="F317" s="7" t="s">
        <v>59</v>
      </c>
      <c r="G317" s="7" t="s">
        <v>444</v>
      </c>
      <c r="H317" s="7" t="s">
        <v>66</v>
      </c>
      <c r="I317" s="32" t="b">
        <f aca="false">TRUE()</f>
        <v>1</v>
      </c>
      <c r="J317" s="32" t="b">
        <f aca="false">FALSE()</f>
        <v>0</v>
      </c>
      <c r="K317" s="32" t="b">
        <f aca="false">FALSE()</f>
        <v>0</v>
      </c>
      <c r="L317" s="7" t="s">
        <v>445</v>
      </c>
      <c r="M317" s="7" t="s">
        <v>446</v>
      </c>
      <c r="N317" s="7" t="s">
        <v>535</v>
      </c>
      <c r="O317" s="7" t="n">
        <v>62378.47</v>
      </c>
      <c r="P317" s="7" t="n">
        <v>62145.94</v>
      </c>
      <c r="Q317" s="7" t="n">
        <v>10.69</v>
      </c>
      <c r="R317" s="7" t="s">
        <v>69</v>
      </c>
    </row>
    <row r="318" customFormat="false" ht="15" hidden="false" customHeight="false" outlineLevel="0" collapsed="false">
      <c r="A318" s="7" t="s">
        <v>328</v>
      </c>
      <c r="B318" s="7" t="s">
        <v>64</v>
      </c>
      <c r="C318" s="7" t="n">
        <v>61880</v>
      </c>
      <c r="D318" s="7" t="n">
        <v>61637.4</v>
      </c>
      <c r="E318" s="7" t="n">
        <v>0.0039359220213701</v>
      </c>
      <c r="F318" s="7" t="s">
        <v>450</v>
      </c>
      <c r="G318" s="7" t="s">
        <v>451</v>
      </c>
      <c r="H318" s="7" t="s">
        <v>450</v>
      </c>
      <c r="I318" s="32" t="b">
        <f aca="false">FALSE()</f>
        <v>0</v>
      </c>
      <c r="J318" s="32" t="b">
        <f aca="false">FALSE()</f>
        <v>0</v>
      </c>
      <c r="K318" s="32" t="b">
        <f aca="false">FALSE()</f>
        <v>0</v>
      </c>
      <c r="L318" s="7" t="s">
        <v>445</v>
      </c>
      <c r="M318" s="7" t="s">
        <v>452</v>
      </c>
      <c r="N318" s="7" t="s">
        <v>453</v>
      </c>
      <c r="O318" s="7"/>
      <c r="P318" s="7"/>
      <c r="Q318" s="7"/>
      <c r="R318" s="7"/>
    </row>
    <row r="319" customFormat="false" ht="15" hidden="false" customHeight="false" outlineLevel="0" collapsed="false">
      <c r="A319" s="7" t="s">
        <v>540</v>
      </c>
      <c r="B319" s="7" t="s">
        <v>63</v>
      </c>
      <c r="C319" s="7" t="n">
        <v>63248.6</v>
      </c>
      <c r="D319" s="7" t="n">
        <v>63052.1</v>
      </c>
      <c r="E319" s="7" t="n">
        <v>0.0031164703475379</v>
      </c>
      <c r="F319" s="7" t="s">
        <v>450</v>
      </c>
      <c r="G319" s="7" t="s">
        <v>451</v>
      </c>
      <c r="H319" s="7" t="s">
        <v>450</v>
      </c>
      <c r="I319" s="32" t="b">
        <f aca="false">FALSE()</f>
        <v>0</v>
      </c>
      <c r="J319" s="32" t="b">
        <f aca="false">FALSE()</f>
        <v>0</v>
      </c>
      <c r="K319" s="32" t="b">
        <f aca="false">FALSE()</f>
        <v>0</v>
      </c>
      <c r="L319" s="7" t="s">
        <v>445</v>
      </c>
      <c r="M319" s="7" t="s">
        <v>452</v>
      </c>
      <c r="N319" s="7" t="s">
        <v>453</v>
      </c>
      <c r="O319" s="7"/>
      <c r="P319" s="7"/>
      <c r="Q319" s="7"/>
      <c r="R319" s="7"/>
    </row>
    <row r="320" customFormat="false" ht="15" hidden="false" customHeight="false" outlineLevel="0" collapsed="false">
      <c r="A320" s="7" t="s">
        <v>540</v>
      </c>
      <c r="B320" s="7" t="s">
        <v>64</v>
      </c>
      <c r="C320" s="7" t="n">
        <v>63749.8</v>
      </c>
      <c r="D320" s="7" t="n">
        <v>63330.4</v>
      </c>
      <c r="E320" s="7" t="n">
        <v>0.0066224119853972</v>
      </c>
      <c r="F320" s="7" t="s">
        <v>450</v>
      </c>
      <c r="G320" s="7" t="s">
        <v>451</v>
      </c>
      <c r="H320" s="7" t="s">
        <v>450</v>
      </c>
      <c r="I320" s="32" t="b">
        <f aca="false">FALSE()</f>
        <v>0</v>
      </c>
      <c r="J320" s="32" t="b">
        <f aca="false">FALSE()</f>
        <v>0</v>
      </c>
      <c r="K320" s="32" t="b">
        <f aca="false">FALSE()</f>
        <v>0</v>
      </c>
      <c r="L320" s="7" t="s">
        <v>445</v>
      </c>
      <c r="M320" s="7" t="s">
        <v>452</v>
      </c>
      <c r="N320" s="7" t="s">
        <v>453</v>
      </c>
      <c r="O320" s="7"/>
      <c r="P320" s="7"/>
      <c r="Q320" s="7"/>
      <c r="R320" s="7"/>
    </row>
    <row r="321" customFormat="false" ht="15" hidden="false" customHeight="false" outlineLevel="0" collapsed="false">
      <c r="A321" s="7" t="s">
        <v>329</v>
      </c>
      <c r="B321" s="7" t="s">
        <v>63</v>
      </c>
      <c r="C321" s="7" t="n">
        <v>63179.7</v>
      </c>
      <c r="D321" s="7" t="n">
        <v>62999.9</v>
      </c>
      <c r="E321" s="7" t="n">
        <v>0.0028539727840837</v>
      </c>
      <c r="F321" s="7" t="s">
        <v>60</v>
      </c>
      <c r="G321" s="7" t="s">
        <v>448</v>
      </c>
      <c r="H321" s="7" t="s">
        <v>67</v>
      </c>
      <c r="I321" s="32" t="b">
        <f aca="false">FALSE()</f>
        <v>0</v>
      </c>
      <c r="J321" s="32" t="b">
        <f aca="false">TRUE()</f>
        <v>1</v>
      </c>
      <c r="K321" s="32" t="b">
        <f aca="false">FALSE()</f>
        <v>0</v>
      </c>
      <c r="L321" s="7" t="s">
        <v>445</v>
      </c>
      <c r="M321" s="7" t="s">
        <v>446</v>
      </c>
      <c r="N321" s="7" t="s">
        <v>449</v>
      </c>
      <c r="O321" s="7" t="n">
        <v>63158.27</v>
      </c>
      <c r="P321" s="7" t="n">
        <v>63464.01</v>
      </c>
      <c r="Q321" s="7" t="n">
        <v>67.17</v>
      </c>
      <c r="R321" s="7" t="s">
        <v>69</v>
      </c>
    </row>
    <row r="322" customFormat="false" ht="15" hidden="false" customHeight="false" outlineLevel="0" collapsed="false">
      <c r="A322" s="7" t="s">
        <v>329</v>
      </c>
      <c r="B322" s="7" t="s">
        <v>64</v>
      </c>
      <c r="C322" s="7" t="n">
        <v>62485.2</v>
      </c>
      <c r="D322" s="7" t="n">
        <v>62125</v>
      </c>
      <c r="E322" s="7" t="n">
        <v>0.0057979879275653</v>
      </c>
      <c r="F322" s="7" t="s">
        <v>60</v>
      </c>
      <c r="G322" s="7" t="s">
        <v>448</v>
      </c>
      <c r="H322" s="7" t="s">
        <v>67</v>
      </c>
      <c r="I322" s="32" t="b">
        <f aca="false">FALSE()</f>
        <v>0</v>
      </c>
      <c r="J322" s="32" t="b">
        <f aca="false">TRUE()</f>
        <v>1</v>
      </c>
      <c r="K322" s="32" t="b">
        <f aca="false">FALSE()</f>
        <v>0</v>
      </c>
      <c r="L322" s="7" t="s">
        <v>445</v>
      </c>
      <c r="M322" s="7" t="s">
        <v>446</v>
      </c>
      <c r="N322" s="7" t="s">
        <v>472</v>
      </c>
      <c r="O322" s="7" t="n">
        <v>62231.95</v>
      </c>
      <c r="P322" s="7" t="n">
        <v>62766.38</v>
      </c>
      <c r="Q322" s="7" t="n">
        <v>25.85</v>
      </c>
      <c r="R322" s="7" t="s">
        <v>69</v>
      </c>
    </row>
    <row r="323" customFormat="false" ht="15" hidden="false" customHeight="false" outlineLevel="0" collapsed="false">
      <c r="A323" s="7" t="s">
        <v>330</v>
      </c>
      <c r="B323" s="7" t="s">
        <v>63</v>
      </c>
      <c r="C323" s="7" t="n">
        <v>61783.4</v>
      </c>
      <c r="D323" s="7" t="n">
        <v>61528.5</v>
      </c>
      <c r="E323" s="7" t="n">
        <v>0.0041427956150402</v>
      </c>
      <c r="F323" s="7" t="s">
        <v>450</v>
      </c>
      <c r="G323" s="7" t="s">
        <v>451</v>
      </c>
      <c r="H323" s="7" t="s">
        <v>450</v>
      </c>
      <c r="I323" s="32" t="b">
        <f aca="false">FALSE()</f>
        <v>0</v>
      </c>
      <c r="J323" s="32" t="b">
        <f aca="false">FALSE()</f>
        <v>0</v>
      </c>
      <c r="K323" s="32" t="b">
        <f aca="false">FALSE()</f>
        <v>0</v>
      </c>
      <c r="L323" s="7" t="s">
        <v>445</v>
      </c>
      <c r="M323" s="7" t="s">
        <v>452</v>
      </c>
      <c r="N323" s="7" t="s">
        <v>453</v>
      </c>
      <c r="O323" s="7"/>
      <c r="P323" s="7"/>
      <c r="Q323" s="7"/>
      <c r="R323" s="7"/>
    </row>
    <row r="324" customFormat="false" ht="15" hidden="false" customHeight="false" outlineLevel="0" collapsed="false">
      <c r="A324" s="7" t="s">
        <v>330</v>
      </c>
      <c r="B324" s="7" t="s">
        <v>64</v>
      </c>
      <c r="C324" s="7" t="n">
        <v>62357.4</v>
      </c>
      <c r="D324" s="7" t="n">
        <v>61474.7</v>
      </c>
      <c r="E324" s="7" t="n">
        <v>0.0143587524623951</v>
      </c>
      <c r="F324" s="7" t="s">
        <v>60</v>
      </c>
      <c r="G324" s="7" t="s">
        <v>448</v>
      </c>
      <c r="H324" s="7" t="s">
        <v>67</v>
      </c>
      <c r="I324" s="32" t="b">
        <f aca="false">FALSE()</f>
        <v>0</v>
      </c>
      <c r="J324" s="32" t="b">
        <f aca="false">TRUE()</f>
        <v>1</v>
      </c>
      <c r="K324" s="32" t="b">
        <f aca="false">FALSE()</f>
        <v>0</v>
      </c>
      <c r="L324" s="7" t="s">
        <v>445</v>
      </c>
      <c r="M324" s="7" t="s">
        <v>446</v>
      </c>
      <c r="N324" s="7" t="s">
        <v>472</v>
      </c>
      <c r="O324" s="7" t="n">
        <v>62111.48</v>
      </c>
      <c r="P324" s="7" t="n">
        <v>62638.01</v>
      </c>
      <c r="Q324" s="7" t="n">
        <v>21.24</v>
      </c>
      <c r="R324" s="7" t="s">
        <v>69</v>
      </c>
    </row>
    <row r="325" customFormat="false" ht="15" hidden="false" customHeight="false" outlineLevel="0" collapsed="false">
      <c r="A325" s="7" t="s">
        <v>331</v>
      </c>
      <c r="B325" s="7" t="s">
        <v>63</v>
      </c>
      <c r="C325" s="7" t="n">
        <v>62812.2</v>
      </c>
      <c r="D325" s="7" t="n">
        <v>62578.4</v>
      </c>
      <c r="E325" s="7" t="n">
        <v>0.0037361134193267</v>
      </c>
      <c r="F325" s="7" t="s">
        <v>450</v>
      </c>
      <c r="G325" s="7" t="s">
        <v>451</v>
      </c>
      <c r="H325" s="7" t="s">
        <v>450</v>
      </c>
      <c r="I325" s="32" t="b">
        <f aca="false">FALSE()</f>
        <v>0</v>
      </c>
      <c r="J325" s="32" t="b">
        <f aca="false">FALSE()</f>
        <v>0</v>
      </c>
      <c r="K325" s="32" t="b">
        <f aca="false">FALSE()</f>
        <v>0</v>
      </c>
      <c r="L325" s="7" t="s">
        <v>445</v>
      </c>
      <c r="M325" s="7" t="s">
        <v>452</v>
      </c>
      <c r="N325" s="7" t="s">
        <v>453</v>
      </c>
      <c r="O325" s="7"/>
      <c r="P325" s="7"/>
      <c r="Q325" s="7"/>
      <c r="R325" s="7"/>
    </row>
    <row r="326" customFormat="false" ht="15" hidden="false" customHeight="false" outlineLevel="0" collapsed="false">
      <c r="A326" s="7" t="s">
        <v>331</v>
      </c>
      <c r="B326" s="7" t="s">
        <v>64</v>
      </c>
      <c r="C326" s="7" t="n">
        <v>62940</v>
      </c>
      <c r="D326" s="7" t="n">
        <v>62644.7</v>
      </c>
      <c r="E326" s="7" t="n">
        <v>0.0047138864101831</v>
      </c>
      <c r="F326" s="7" t="s">
        <v>59</v>
      </c>
      <c r="G326" s="7" t="s">
        <v>444</v>
      </c>
      <c r="H326" s="7" t="s">
        <v>66</v>
      </c>
      <c r="I326" s="32" t="b">
        <f aca="false">TRUE()</f>
        <v>1</v>
      </c>
      <c r="J326" s="32" t="b">
        <f aca="false">FALSE()</f>
        <v>0</v>
      </c>
      <c r="K326" s="32" t="b">
        <f aca="false">FALSE()</f>
        <v>0</v>
      </c>
      <c r="L326" s="7" t="s">
        <v>445</v>
      </c>
      <c r="M326" s="7" t="s">
        <v>446</v>
      </c>
      <c r="N326" s="7" t="s">
        <v>541</v>
      </c>
      <c r="O326" s="7" t="n">
        <v>63058.71</v>
      </c>
      <c r="P326" s="7" t="n">
        <v>62845.59</v>
      </c>
      <c r="Q326" s="7" t="n">
        <v>-132.04</v>
      </c>
      <c r="R326" s="7" t="s">
        <v>70</v>
      </c>
    </row>
    <row r="327" customFormat="false" ht="15" hidden="false" customHeight="false" outlineLevel="0" collapsed="false">
      <c r="A327" s="7" t="s">
        <v>542</v>
      </c>
      <c r="B327" s="7" t="s">
        <v>63</v>
      </c>
      <c r="C327" s="7" t="n">
        <v>63063.2</v>
      </c>
      <c r="D327" s="7" t="n">
        <v>62946.1</v>
      </c>
      <c r="E327" s="7" t="n">
        <v>0.0018603217673533</v>
      </c>
      <c r="F327" s="7" t="s">
        <v>450</v>
      </c>
      <c r="G327" s="7" t="s">
        <v>451</v>
      </c>
      <c r="H327" s="7" t="s">
        <v>450</v>
      </c>
      <c r="I327" s="32" t="b">
        <f aca="false">FALSE()</f>
        <v>0</v>
      </c>
      <c r="J327" s="32" t="b">
        <f aca="false">FALSE()</f>
        <v>0</v>
      </c>
      <c r="K327" s="32" t="b">
        <f aca="false">FALSE()</f>
        <v>0</v>
      </c>
      <c r="L327" s="7" t="s">
        <v>445</v>
      </c>
      <c r="M327" s="7" t="s">
        <v>452</v>
      </c>
      <c r="N327" s="7" t="s">
        <v>453</v>
      </c>
      <c r="O327" s="7"/>
      <c r="P327" s="7"/>
      <c r="Q327" s="7"/>
      <c r="R327" s="7"/>
    </row>
    <row r="328" customFormat="false" ht="15" hidden="false" customHeight="false" outlineLevel="0" collapsed="false">
      <c r="A328" s="7" t="s">
        <v>542</v>
      </c>
      <c r="B328" s="7" t="s">
        <v>64</v>
      </c>
      <c r="C328" s="7" t="n">
        <v>63427.3</v>
      </c>
      <c r="D328" s="7" t="n">
        <v>63020.6</v>
      </c>
      <c r="E328" s="7" t="n">
        <v>0.0064534453813515</v>
      </c>
      <c r="F328" s="7" t="s">
        <v>450</v>
      </c>
      <c r="G328" s="7" t="s">
        <v>451</v>
      </c>
      <c r="H328" s="7" t="s">
        <v>450</v>
      </c>
      <c r="I328" s="32" t="b">
        <f aca="false">FALSE()</f>
        <v>0</v>
      </c>
      <c r="J328" s="32" t="b">
        <f aca="false">FALSE()</f>
        <v>0</v>
      </c>
      <c r="K328" s="32" t="b">
        <f aca="false">FALSE()</f>
        <v>0</v>
      </c>
      <c r="L328" s="7" t="s">
        <v>445</v>
      </c>
      <c r="M328" s="7" t="s">
        <v>452</v>
      </c>
      <c r="N328" s="7" t="s">
        <v>453</v>
      </c>
      <c r="O328" s="7"/>
      <c r="P328" s="7"/>
      <c r="Q328" s="7"/>
      <c r="R328" s="7"/>
    </row>
    <row r="329" customFormat="false" ht="15" hidden="false" customHeight="false" outlineLevel="0" collapsed="false">
      <c r="A329" s="7" t="s">
        <v>543</v>
      </c>
      <c r="B329" s="7" t="s">
        <v>63</v>
      </c>
      <c r="C329" s="7" t="n">
        <v>63810</v>
      </c>
      <c r="D329" s="7" t="n">
        <v>63713.3</v>
      </c>
      <c r="E329" s="7" t="n">
        <v>0.0015177364851608</v>
      </c>
      <c r="F329" s="7" t="s">
        <v>450</v>
      </c>
      <c r="G329" s="7" t="s">
        <v>451</v>
      </c>
      <c r="H329" s="7" t="s">
        <v>450</v>
      </c>
      <c r="I329" s="32" t="b">
        <f aca="false">FALSE()</f>
        <v>0</v>
      </c>
      <c r="J329" s="32" t="b">
        <f aca="false">FALSE()</f>
        <v>0</v>
      </c>
      <c r="K329" s="32" t="b">
        <f aca="false">FALSE()</f>
        <v>0</v>
      </c>
      <c r="L329" s="7" t="s">
        <v>445</v>
      </c>
      <c r="M329" s="7" t="s">
        <v>452</v>
      </c>
      <c r="N329" s="7" t="s">
        <v>453</v>
      </c>
      <c r="O329" s="7"/>
      <c r="P329" s="7"/>
      <c r="Q329" s="7"/>
      <c r="R329" s="7"/>
    </row>
    <row r="330" customFormat="false" ht="15" hidden="false" customHeight="false" outlineLevel="0" collapsed="false">
      <c r="A330" s="7" t="s">
        <v>543</v>
      </c>
      <c r="B330" s="7" t="s">
        <v>64</v>
      </c>
      <c r="C330" s="7" t="n">
        <v>64217</v>
      </c>
      <c r="D330" s="7" t="n">
        <v>64129.7</v>
      </c>
      <c r="E330" s="7" t="n">
        <v>0.0013613037329038</v>
      </c>
      <c r="F330" s="7" t="s">
        <v>450</v>
      </c>
      <c r="G330" s="7" t="s">
        <v>451</v>
      </c>
      <c r="H330" s="7" t="s">
        <v>450</v>
      </c>
      <c r="I330" s="32" t="b">
        <f aca="false">FALSE()</f>
        <v>0</v>
      </c>
      <c r="J330" s="32" t="b">
        <f aca="false">FALSE()</f>
        <v>0</v>
      </c>
      <c r="K330" s="32" t="b">
        <f aca="false">FALSE()</f>
        <v>0</v>
      </c>
      <c r="L330" s="7" t="s">
        <v>445</v>
      </c>
      <c r="M330" s="7" t="s">
        <v>452</v>
      </c>
      <c r="N330" s="7" t="s">
        <v>453</v>
      </c>
      <c r="O330" s="7"/>
      <c r="P330" s="7"/>
      <c r="Q330" s="7"/>
      <c r="R330" s="7"/>
    </row>
    <row r="331" customFormat="false" ht="15" hidden="false" customHeight="false" outlineLevel="0" collapsed="false">
      <c r="A331" s="7" t="s">
        <v>332</v>
      </c>
      <c r="B331" s="7" t="s">
        <v>63</v>
      </c>
      <c r="C331" s="7" t="n">
        <v>64321.9</v>
      </c>
      <c r="D331" s="7" t="n">
        <v>64262.7</v>
      </c>
      <c r="E331" s="7" t="n">
        <v>0.0009212186851782</v>
      </c>
      <c r="F331" s="7" t="s">
        <v>450</v>
      </c>
      <c r="G331" s="7" t="s">
        <v>451</v>
      </c>
      <c r="H331" s="7" t="s">
        <v>450</v>
      </c>
      <c r="I331" s="32" t="b">
        <f aca="false">FALSE()</f>
        <v>0</v>
      </c>
      <c r="J331" s="32" t="b">
        <f aca="false">FALSE()</f>
        <v>0</v>
      </c>
      <c r="K331" s="32" t="b">
        <f aca="false">FALSE()</f>
        <v>0</v>
      </c>
      <c r="L331" s="7" t="s">
        <v>445</v>
      </c>
      <c r="M331" s="7" t="s">
        <v>452</v>
      </c>
      <c r="N331" s="7" t="s">
        <v>453</v>
      </c>
      <c r="O331" s="7"/>
      <c r="P331" s="7"/>
      <c r="Q331" s="7"/>
      <c r="R331" s="7"/>
    </row>
    <row r="332" customFormat="false" ht="15" hidden="false" customHeight="false" outlineLevel="0" collapsed="false">
      <c r="A332" s="7" t="s">
        <v>332</v>
      </c>
      <c r="B332" s="7" t="s">
        <v>64</v>
      </c>
      <c r="C332" s="7" t="n">
        <v>64354.5</v>
      </c>
      <c r="D332" s="7" t="n">
        <v>64207.3</v>
      </c>
      <c r="E332" s="7" t="n">
        <v>0.0022925742088515</v>
      </c>
      <c r="F332" s="7" t="s">
        <v>60</v>
      </c>
      <c r="G332" s="7" t="s">
        <v>448</v>
      </c>
      <c r="H332" s="7" t="s">
        <v>67</v>
      </c>
      <c r="I332" s="32" t="b">
        <f aca="false">FALSE()</f>
        <v>0</v>
      </c>
      <c r="J332" s="32" t="b">
        <f aca="false">TRUE()</f>
        <v>1</v>
      </c>
      <c r="K332" s="32" t="b">
        <f aca="false">FALSE()</f>
        <v>0</v>
      </c>
      <c r="L332" s="7" t="s">
        <v>445</v>
      </c>
      <c r="M332" s="7" t="s">
        <v>446</v>
      </c>
      <c r="N332" s="7" t="s">
        <v>472</v>
      </c>
      <c r="O332" s="7" t="n">
        <v>64274.54</v>
      </c>
      <c r="P332" s="7" t="n">
        <v>64644.1</v>
      </c>
      <c r="Q332" s="7" t="n">
        <v>51</v>
      </c>
      <c r="R332" s="7" t="s">
        <v>69</v>
      </c>
    </row>
    <row r="333" customFormat="false" ht="15" hidden="false" customHeight="false" outlineLevel="0" collapsed="false">
      <c r="A333" s="7" t="s">
        <v>333</v>
      </c>
      <c r="B333" s="7" t="s">
        <v>63</v>
      </c>
      <c r="C333" s="7" t="n">
        <v>65924.3</v>
      </c>
      <c r="D333" s="7" t="n">
        <v>65692</v>
      </c>
      <c r="E333" s="7" t="n">
        <v>0.0035361992327833</v>
      </c>
      <c r="F333" s="7" t="s">
        <v>450</v>
      </c>
      <c r="G333" s="7" t="s">
        <v>451</v>
      </c>
      <c r="H333" s="7" t="s">
        <v>450</v>
      </c>
      <c r="I333" s="32" t="b">
        <f aca="false">FALSE()</f>
        <v>0</v>
      </c>
      <c r="J333" s="32" t="b">
        <f aca="false">FALSE()</f>
        <v>0</v>
      </c>
      <c r="K333" s="32" t="b">
        <f aca="false">FALSE()</f>
        <v>0</v>
      </c>
      <c r="L333" s="7" t="s">
        <v>445</v>
      </c>
      <c r="M333" s="7" t="s">
        <v>452</v>
      </c>
      <c r="N333" s="7" t="s">
        <v>453</v>
      </c>
      <c r="O333" s="7"/>
      <c r="P333" s="7"/>
      <c r="Q333" s="7"/>
      <c r="R333" s="7"/>
    </row>
    <row r="334" customFormat="false" ht="15" hidden="false" customHeight="false" outlineLevel="0" collapsed="false">
      <c r="A334" s="7" t="s">
        <v>333</v>
      </c>
      <c r="B334" s="7" t="s">
        <v>64</v>
      </c>
      <c r="C334" s="7" t="n">
        <v>66853.8</v>
      </c>
      <c r="D334" s="7" t="n">
        <v>66408.4</v>
      </c>
      <c r="E334" s="7" t="n">
        <v>0.0067069828515671</v>
      </c>
      <c r="F334" s="7" t="s">
        <v>60</v>
      </c>
      <c r="G334" s="7" t="s">
        <v>459</v>
      </c>
      <c r="H334" s="7" t="s">
        <v>66</v>
      </c>
      <c r="I334" s="32" t="b">
        <f aca="false">FALSE()</f>
        <v>0</v>
      </c>
      <c r="J334" s="32" t="b">
        <f aca="false">TRUE()</f>
        <v>1</v>
      </c>
      <c r="K334" s="32" t="b">
        <f aca="false">FALSE()</f>
        <v>0</v>
      </c>
      <c r="L334" s="7" t="s">
        <v>445</v>
      </c>
      <c r="M334" s="7" t="s">
        <v>446</v>
      </c>
      <c r="N334" s="7" t="s">
        <v>488</v>
      </c>
      <c r="O334" s="7" t="n">
        <v>66429.68</v>
      </c>
      <c r="P334" s="7" t="n">
        <v>66109.56</v>
      </c>
      <c r="Q334" s="7" t="n">
        <v>13.89</v>
      </c>
      <c r="R334" s="7" t="s">
        <v>69</v>
      </c>
    </row>
    <row r="335" customFormat="false" ht="15" hidden="false" customHeight="false" outlineLevel="0" collapsed="false">
      <c r="A335" s="7" t="s">
        <v>334</v>
      </c>
      <c r="B335" s="7" t="s">
        <v>63</v>
      </c>
      <c r="C335" s="7" t="n">
        <v>66399</v>
      </c>
      <c r="D335" s="7" t="n">
        <v>66280</v>
      </c>
      <c r="E335" s="7" t="n">
        <v>0.0017954133977066</v>
      </c>
      <c r="F335" s="7" t="s">
        <v>60</v>
      </c>
      <c r="G335" s="7" t="s">
        <v>459</v>
      </c>
      <c r="H335" s="7" t="s">
        <v>66</v>
      </c>
      <c r="I335" s="32" t="b">
        <f aca="false">FALSE()</f>
        <v>0</v>
      </c>
      <c r="J335" s="32" t="b">
        <f aca="false">TRUE()</f>
        <v>1</v>
      </c>
      <c r="K335" s="32" t="b">
        <f aca="false">FALSE()</f>
        <v>0</v>
      </c>
      <c r="L335" s="7" t="s">
        <v>445</v>
      </c>
      <c r="M335" s="7" t="s">
        <v>446</v>
      </c>
      <c r="N335" s="7" t="s">
        <v>465</v>
      </c>
      <c r="O335" s="7" t="n">
        <v>66355.07</v>
      </c>
      <c r="P335" s="7" t="n">
        <v>65981.74</v>
      </c>
      <c r="Q335" s="7" t="n">
        <v>23.2</v>
      </c>
      <c r="R335" s="7" t="s">
        <v>69</v>
      </c>
    </row>
    <row r="336" customFormat="false" ht="15" hidden="false" customHeight="false" outlineLevel="0" collapsed="false">
      <c r="A336" s="7" t="s">
        <v>334</v>
      </c>
      <c r="B336" s="7" t="s">
        <v>64</v>
      </c>
      <c r="C336" s="7" t="n">
        <v>66137</v>
      </c>
      <c r="D336" s="7" t="n">
        <v>65893.2</v>
      </c>
      <c r="E336" s="7" t="n">
        <v>0.0036999265478077</v>
      </c>
      <c r="F336" s="7" t="s">
        <v>60</v>
      </c>
      <c r="G336" s="7" t="s">
        <v>448</v>
      </c>
      <c r="H336" s="7" t="s">
        <v>67</v>
      </c>
      <c r="I336" s="32" t="b">
        <f aca="false">FALSE()</f>
        <v>0</v>
      </c>
      <c r="J336" s="32" t="b">
        <f aca="false">TRUE()</f>
        <v>1</v>
      </c>
      <c r="K336" s="32" t="b">
        <f aca="false">FALSE()</f>
        <v>0</v>
      </c>
      <c r="L336" s="7" t="s">
        <v>445</v>
      </c>
      <c r="M336" s="7" t="s">
        <v>446</v>
      </c>
      <c r="N336" s="7" t="s">
        <v>472</v>
      </c>
      <c r="O336" s="7" t="n">
        <v>65999.6</v>
      </c>
      <c r="P336" s="7" t="n">
        <v>66434.62</v>
      </c>
      <c r="Q336" s="7" t="n">
        <v>40.89</v>
      </c>
      <c r="R336" s="7" t="s">
        <v>69</v>
      </c>
    </row>
    <row r="337" customFormat="false" ht="15" hidden="false" customHeight="false" outlineLevel="0" collapsed="false">
      <c r="A337" s="7" t="s">
        <v>335</v>
      </c>
      <c r="B337" s="7" t="s">
        <v>63</v>
      </c>
      <c r="C337" s="7" t="n">
        <v>65552.6</v>
      </c>
      <c r="D337" s="7" t="n">
        <v>65446.9</v>
      </c>
      <c r="E337" s="7" t="n">
        <v>0.0016150497578953</v>
      </c>
      <c r="F337" s="7" t="s">
        <v>60</v>
      </c>
      <c r="G337" s="7" t="s">
        <v>448</v>
      </c>
      <c r="H337" s="7" t="s">
        <v>67</v>
      </c>
      <c r="I337" s="32" t="b">
        <f aca="false">FALSE()</f>
        <v>0</v>
      </c>
      <c r="J337" s="32" t="b">
        <f aca="false">TRUE()</f>
        <v>1</v>
      </c>
      <c r="K337" s="32" t="b">
        <f aca="false">FALSE()</f>
        <v>0</v>
      </c>
      <c r="L337" s="7" t="s">
        <v>445</v>
      </c>
      <c r="M337" s="7" t="s">
        <v>446</v>
      </c>
      <c r="N337" s="7" t="s">
        <v>449</v>
      </c>
      <c r="O337" s="7" t="n">
        <v>65490.8</v>
      </c>
      <c r="P337" s="7" t="n">
        <v>65847.59</v>
      </c>
      <c r="Q337" s="7" t="n">
        <v>84.43</v>
      </c>
      <c r="R337" s="7" t="s">
        <v>69</v>
      </c>
    </row>
    <row r="338" customFormat="false" ht="15" hidden="false" customHeight="false" outlineLevel="0" collapsed="false">
      <c r="A338" s="7" t="s">
        <v>335</v>
      </c>
      <c r="B338" s="7" t="s">
        <v>64</v>
      </c>
      <c r="C338" s="7" t="n">
        <v>65305</v>
      </c>
      <c r="D338" s="7" t="n">
        <v>64804.1</v>
      </c>
      <c r="E338" s="7" t="n">
        <v>0.0077294492169477</v>
      </c>
      <c r="F338" s="7" t="s">
        <v>60</v>
      </c>
      <c r="G338" s="7" t="s">
        <v>448</v>
      </c>
      <c r="H338" s="7" t="s">
        <v>67</v>
      </c>
      <c r="I338" s="32" t="b">
        <f aca="false">FALSE()</f>
        <v>0</v>
      </c>
      <c r="J338" s="32" t="b">
        <f aca="false">TRUE()</f>
        <v>1</v>
      </c>
      <c r="K338" s="32" t="b">
        <f aca="false">FALSE()</f>
        <v>0</v>
      </c>
      <c r="L338" s="7" t="s">
        <v>445</v>
      </c>
      <c r="M338" s="7" t="s">
        <v>446</v>
      </c>
      <c r="N338" s="7" t="s">
        <v>469</v>
      </c>
      <c r="O338" s="7" t="n">
        <v>65219.55</v>
      </c>
      <c r="P338" s="7" t="n">
        <v>65598.87</v>
      </c>
      <c r="Q338" s="7" t="n">
        <v>10.67</v>
      </c>
      <c r="R338" s="7" t="s">
        <v>69</v>
      </c>
    </row>
    <row r="339" customFormat="false" ht="15" hidden="false" customHeight="false" outlineLevel="0" collapsed="false">
      <c r="A339" s="7" t="s">
        <v>336</v>
      </c>
      <c r="B339" s="7" t="s">
        <v>63</v>
      </c>
      <c r="C339" s="7" t="n">
        <v>64428.6</v>
      </c>
      <c r="D339" s="7" t="n">
        <v>64222.8</v>
      </c>
      <c r="E339" s="7" t="n">
        <v>0.0032044694407592</v>
      </c>
      <c r="F339" s="7" t="s">
        <v>450</v>
      </c>
      <c r="G339" s="7" t="s">
        <v>451</v>
      </c>
      <c r="H339" s="7" t="s">
        <v>450</v>
      </c>
      <c r="I339" s="32" t="b">
        <f aca="false">FALSE()</f>
        <v>0</v>
      </c>
      <c r="J339" s="32" t="b">
        <f aca="false">FALSE()</f>
        <v>0</v>
      </c>
      <c r="K339" s="32" t="b">
        <f aca="false">FALSE()</f>
        <v>0</v>
      </c>
      <c r="L339" s="7" t="s">
        <v>445</v>
      </c>
      <c r="M339" s="7" t="s">
        <v>452</v>
      </c>
      <c r="N339" s="7" t="s">
        <v>453</v>
      </c>
      <c r="O339" s="7"/>
      <c r="P339" s="7"/>
      <c r="Q339" s="7"/>
      <c r="R339" s="7"/>
    </row>
    <row r="340" customFormat="false" ht="15" hidden="false" customHeight="false" outlineLevel="0" collapsed="false">
      <c r="A340" s="7" t="s">
        <v>336</v>
      </c>
      <c r="B340" s="7" t="s">
        <v>64</v>
      </c>
      <c r="C340" s="7" t="n">
        <v>64355.2</v>
      </c>
      <c r="D340" s="7" t="n">
        <v>63844.7</v>
      </c>
      <c r="E340" s="7" t="n">
        <v>0.0079959652093282</v>
      </c>
      <c r="F340" s="7" t="s">
        <v>60</v>
      </c>
      <c r="G340" s="7" t="s">
        <v>459</v>
      </c>
      <c r="H340" s="7" t="s">
        <v>66</v>
      </c>
      <c r="I340" s="32" t="b">
        <f aca="false">FALSE()</f>
        <v>0</v>
      </c>
      <c r="J340" s="32" t="b">
        <f aca="false">TRUE()</f>
        <v>1</v>
      </c>
      <c r="K340" s="32" t="b">
        <f aca="false">FALSE()</f>
        <v>0</v>
      </c>
      <c r="L340" s="7" t="s">
        <v>445</v>
      </c>
      <c r="M340" s="7" t="s">
        <v>446</v>
      </c>
      <c r="N340" s="7" t="s">
        <v>465</v>
      </c>
      <c r="O340" s="7" t="n">
        <v>63965.19</v>
      </c>
      <c r="P340" s="7" t="n">
        <v>63557.4</v>
      </c>
      <c r="Q340" s="7" t="n">
        <v>12.45</v>
      </c>
      <c r="R340" s="7" t="s">
        <v>69</v>
      </c>
    </row>
    <row r="341" customFormat="false" ht="15" hidden="false" customHeight="false" outlineLevel="0" collapsed="false">
      <c r="A341" s="7" t="s">
        <v>337</v>
      </c>
      <c r="B341" s="7" t="s">
        <v>63</v>
      </c>
      <c r="C341" s="7" t="n">
        <v>62799.9</v>
      </c>
      <c r="D341" s="7" t="n">
        <v>62465.6</v>
      </c>
      <c r="E341" s="7" t="n">
        <v>0.0053517456007787</v>
      </c>
      <c r="F341" s="7" t="s">
        <v>450</v>
      </c>
      <c r="G341" s="7" t="s">
        <v>451</v>
      </c>
      <c r="H341" s="7" t="s">
        <v>450</v>
      </c>
      <c r="I341" s="32" t="b">
        <f aca="false">FALSE()</f>
        <v>0</v>
      </c>
      <c r="J341" s="32" t="b">
        <f aca="false">FALSE()</f>
        <v>0</v>
      </c>
      <c r="K341" s="32" t="b">
        <f aca="false">FALSE()</f>
        <v>0</v>
      </c>
      <c r="L341" s="7" t="s">
        <v>445</v>
      </c>
      <c r="M341" s="7" t="s">
        <v>452</v>
      </c>
      <c r="N341" s="7" t="s">
        <v>453</v>
      </c>
      <c r="O341" s="7"/>
      <c r="P341" s="7"/>
      <c r="Q341" s="7"/>
      <c r="R341" s="7"/>
    </row>
    <row r="342" customFormat="false" ht="15" hidden="false" customHeight="false" outlineLevel="0" collapsed="false">
      <c r="A342" s="7" t="s">
        <v>337</v>
      </c>
      <c r="B342" s="7" t="s">
        <v>64</v>
      </c>
      <c r="C342" s="7" t="n">
        <v>63099.8</v>
      </c>
      <c r="D342" s="7" t="n">
        <v>62712.5</v>
      </c>
      <c r="E342" s="7" t="n">
        <v>0.0061758022722743</v>
      </c>
      <c r="F342" s="7" t="s">
        <v>59</v>
      </c>
      <c r="G342" s="7" t="s">
        <v>444</v>
      </c>
      <c r="H342" s="7" t="s">
        <v>66</v>
      </c>
      <c r="I342" s="32" t="b">
        <f aca="false">TRUE()</f>
        <v>1</v>
      </c>
      <c r="J342" s="32" t="b">
        <f aca="false">FALSE()</f>
        <v>0</v>
      </c>
      <c r="K342" s="32" t="b">
        <f aca="false">FALSE()</f>
        <v>0</v>
      </c>
      <c r="L342" s="7" t="s">
        <v>445</v>
      </c>
      <c r="M342" s="7" t="s">
        <v>446</v>
      </c>
      <c r="N342" s="7" t="s">
        <v>544</v>
      </c>
      <c r="O342" s="7" t="n">
        <v>63186.73</v>
      </c>
      <c r="P342" s="7" t="n">
        <v>63005.15</v>
      </c>
      <c r="Q342" s="7" t="n">
        <v>-141.9</v>
      </c>
      <c r="R342" s="7" t="s">
        <v>70</v>
      </c>
    </row>
    <row r="343" customFormat="false" ht="15" hidden="false" customHeight="false" outlineLevel="0" collapsed="false">
      <c r="A343" s="7" t="s">
        <v>338</v>
      </c>
      <c r="B343" s="7" t="s">
        <v>63</v>
      </c>
      <c r="C343" s="7" t="n">
        <v>63774.2</v>
      </c>
      <c r="D343" s="7" t="n">
        <v>63684.8</v>
      </c>
      <c r="E343" s="7" t="n">
        <v>0.0014037886591462</v>
      </c>
      <c r="F343" s="7" t="s">
        <v>450</v>
      </c>
      <c r="G343" s="7" t="s">
        <v>451</v>
      </c>
      <c r="H343" s="7" t="s">
        <v>450</v>
      </c>
      <c r="I343" s="32" t="b">
        <f aca="false">FALSE()</f>
        <v>0</v>
      </c>
      <c r="J343" s="32" t="b">
        <f aca="false">FALSE()</f>
        <v>0</v>
      </c>
      <c r="K343" s="32" t="b">
        <f aca="false">FALSE()</f>
        <v>0</v>
      </c>
      <c r="L343" s="7" t="s">
        <v>445</v>
      </c>
      <c r="M343" s="7" t="s">
        <v>452</v>
      </c>
      <c r="N343" s="7" t="s">
        <v>453</v>
      </c>
      <c r="O343" s="7"/>
      <c r="P343" s="7"/>
      <c r="Q343" s="7"/>
      <c r="R343" s="7"/>
    </row>
    <row r="344" customFormat="false" ht="15" hidden="false" customHeight="false" outlineLevel="0" collapsed="false">
      <c r="A344" s="7" t="s">
        <v>338</v>
      </c>
      <c r="B344" s="7" t="s">
        <v>64</v>
      </c>
      <c r="C344" s="7" t="n">
        <v>63441.3</v>
      </c>
      <c r="D344" s="7" t="n">
        <v>63310.1</v>
      </c>
      <c r="E344" s="7" t="n">
        <v>0.0020723391686319</v>
      </c>
      <c r="F344" s="7" t="s">
        <v>60</v>
      </c>
      <c r="G344" s="7" t="s">
        <v>448</v>
      </c>
      <c r="H344" s="7" t="s">
        <v>67</v>
      </c>
      <c r="I344" s="32" t="b">
        <f aca="false">FALSE()</f>
        <v>0</v>
      </c>
      <c r="J344" s="32" t="b">
        <f aca="false">TRUE()</f>
        <v>1</v>
      </c>
      <c r="K344" s="32" t="b">
        <f aca="false">FALSE()</f>
        <v>0</v>
      </c>
      <c r="L344" s="7" t="s">
        <v>445</v>
      </c>
      <c r="M344" s="7" t="s">
        <v>446</v>
      </c>
      <c r="N344" s="7" t="s">
        <v>472</v>
      </c>
      <c r="O344" s="7" t="n">
        <v>63355.33</v>
      </c>
      <c r="P344" s="7" t="n">
        <v>63726.79</v>
      </c>
      <c r="Q344" s="7" t="n">
        <v>15.46</v>
      </c>
      <c r="R344" s="7" t="s">
        <v>69</v>
      </c>
    </row>
    <row r="345" customFormat="false" ht="15" hidden="false" customHeight="false" outlineLevel="0" collapsed="false">
      <c r="A345" s="7" t="s">
        <v>339</v>
      </c>
      <c r="B345" s="7" t="s">
        <v>63</v>
      </c>
      <c r="C345" s="7" t="n">
        <v>64222.8</v>
      </c>
      <c r="D345" s="7" t="n">
        <v>64143.2</v>
      </c>
      <c r="E345" s="7" t="n">
        <v>0.0012409733221916</v>
      </c>
      <c r="F345" s="7" t="s">
        <v>60</v>
      </c>
      <c r="G345" s="7" t="s">
        <v>448</v>
      </c>
      <c r="H345" s="7" t="s">
        <v>67</v>
      </c>
      <c r="I345" s="32" t="b">
        <f aca="false">FALSE()</f>
        <v>0</v>
      </c>
      <c r="J345" s="32" t="b">
        <f aca="false">TRUE()</f>
        <v>1</v>
      </c>
      <c r="K345" s="32" t="b">
        <f aca="false">FALSE()</f>
        <v>0</v>
      </c>
      <c r="L345" s="7" t="s">
        <v>445</v>
      </c>
      <c r="M345" s="7" t="s">
        <v>446</v>
      </c>
      <c r="N345" s="7" t="s">
        <v>472</v>
      </c>
      <c r="O345" s="7" t="n">
        <v>64157.17</v>
      </c>
      <c r="P345" s="7" t="n">
        <v>64511.8</v>
      </c>
      <c r="Q345" s="7" t="n">
        <v>26.84</v>
      </c>
      <c r="R345" s="7" t="s">
        <v>69</v>
      </c>
    </row>
    <row r="346" customFormat="false" ht="15" hidden="false" customHeight="false" outlineLevel="0" collapsed="false">
      <c r="A346" s="7" t="s">
        <v>339</v>
      </c>
      <c r="B346" s="7" t="s">
        <v>64</v>
      </c>
      <c r="C346" s="7" t="n">
        <v>64140</v>
      </c>
      <c r="D346" s="7" t="n">
        <v>63981.2</v>
      </c>
      <c r="E346" s="7" t="n">
        <v>0.0024819790813551</v>
      </c>
      <c r="F346" s="7" t="s">
        <v>60</v>
      </c>
      <c r="G346" s="7" t="s">
        <v>459</v>
      </c>
      <c r="H346" s="7" t="s">
        <v>66</v>
      </c>
      <c r="I346" s="32" t="b">
        <f aca="false">FALSE()</f>
        <v>0</v>
      </c>
      <c r="J346" s="32" t="b">
        <f aca="false">TRUE()</f>
        <v>1</v>
      </c>
      <c r="K346" s="32" t="b">
        <f aca="false">FALSE()</f>
        <v>0</v>
      </c>
      <c r="L346" s="7" t="s">
        <v>445</v>
      </c>
      <c r="M346" s="7" t="s">
        <v>446</v>
      </c>
      <c r="N346" s="7" t="s">
        <v>545</v>
      </c>
      <c r="O346" s="7" t="n">
        <v>64041.01</v>
      </c>
      <c r="P346" s="7" t="n">
        <v>63693.28</v>
      </c>
      <c r="Q346" s="7" t="n">
        <v>17.54</v>
      </c>
      <c r="R346" s="7" t="s">
        <v>69</v>
      </c>
    </row>
    <row r="347" customFormat="false" ht="15" hidden="false" customHeight="false" outlineLevel="0" collapsed="false">
      <c r="A347" s="7" t="s">
        <v>546</v>
      </c>
      <c r="B347" s="7" t="s">
        <v>63</v>
      </c>
      <c r="C347" s="7" t="n">
        <v>64384.3</v>
      </c>
      <c r="D347" s="7" t="n">
        <v>64215.4</v>
      </c>
      <c r="E347" s="7" t="n">
        <v>0.0026302101987996</v>
      </c>
      <c r="F347" s="7" t="s">
        <v>450</v>
      </c>
      <c r="G347" s="7" t="s">
        <v>451</v>
      </c>
      <c r="H347" s="7" t="s">
        <v>450</v>
      </c>
      <c r="I347" s="32" t="b">
        <f aca="false">FALSE()</f>
        <v>0</v>
      </c>
      <c r="J347" s="32" t="b">
        <f aca="false">FALSE()</f>
        <v>0</v>
      </c>
      <c r="K347" s="32" t="b">
        <f aca="false">FALSE()</f>
        <v>0</v>
      </c>
      <c r="L347" s="7" t="s">
        <v>445</v>
      </c>
      <c r="M347" s="7" t="s">
        <v>452</v>
      </c>
      <c r="N347" s="7" t="s">
        <v>453</v>
      </c>
      <c r="O347" s="7"/>
      <c r="P347" s="7"/>
      <c r="Q347" s="7"/>
      <c r="R347" s="7"/>
    </row>
    <row r="348" customFormat="false" ht="15" hidden="false" customHeight="false" outlineLevel="0" collapsed="false">
      <c r="A348" s="7" t="s">
        <v>546</v>
      </c>
      <c r="B348" s="7" t="s">
        <v>64</v>
      </c>
      <c r="C348" s="7" t="n">
        <v>65454.6</v>
      </c>
      <c r="D348" s="7" t="n">
        <v>64944.8</v>
      </c>
      <c r="E348" s="7" t="n">
        <v>0.0078497431665044</v>
      </c>
      <c r="F348" s="7" t="s">
        <v>450</v>
      </c>
      <c r="G348" s="7" t="s">
        <v>451</v>
      </c>
      <c r="H348" s="7" t="s">
        <v>450</v>
      </c>
      <c r="I348" s="32" t="b">
        <f aca="false">FALSE()</f>
        <v>0</v>
      </c>
      <c r="J348" s="32" t="b">
        <f aca="false">FALSE()</f>
        <v>0</v>
      </c>
      <c r="K348" s="32" t="b">
        <f aca="false">FALSE()</f>
        <v>0</v>
      </c>
      <c r="L348" s="7" t="s">
        <v>445</v>
      </c>
      <c r="M348" s="7" t="s">
        <v>452</v>
      </c>
      <c r="N348" s="7" t="s">
        <v>453</v>
      </c>
      <c r="O348" s="7"/>
      <c r="P348" s="7"/>
      <c r="Q348" s="7"/>
      <c r="R348" s="7"/>
    </row>
    <row r="349" customFormat="false" ht="15" hidden="false" customHeight="false" outlineLevel="0" collapsed="false">
      <c r="A349" s="7" t="s">
        <v>547</v>
      </c>
      <c r="B349" s="7" t="s">
        <v>63</v>
      </c>
      <c r="C349" s="7" t="n">
        <v>63003.6</v>
      </c>
      <c r="D349" s="7" t="n">
        <v>62838.4</v>
      </c>
      <c r="E349" s="7" t="n">
        <v>0.0026289657279624</v>
      </c>
      <c r="F349" s="7" t="s">
        <v>450</v>
      </c>
      <c r="G349" s="7" t="s">
        <v>451</v>
      </c>
      <c r="H349" s="7" t="s">
        <v>450</v>
      </c>
      <c r="I349" s="32" t="b">
        <f aca="false">FALSE()</f>
        <v>0</v>
      </c>
      <c r="J349" s="32" t="b">
        <f aca="false">FALSE()</f>
        <v>0</v>
      </c>
      <c r="K349" s="32" t="b">
        <f aca="false">FALSE()</f>
        <v>0</v>
      </c>
      <c r="L349" s="7" t="s">
        <v>445</v>
      </c>
      <c r="M349" s="7" t="s">
        <v>452</v>
      </c>
      <c r="N349" s="7" t="s">
        <v>453</v>
      </c>
      <c r="O349" s="7"/>
      <c r="P349" s="7"/>
      <c r="Q349" s="7"/>
      <c r="R349" s="7"/>
    </row>
    <row r="350" customFormat="false" ht="15" hidden="false" customHeight="false" outlineLevel="0" collapsed="false">
      <c r="A350" s="7" t="s">
        <v>547</v>
      </c>
      <c r="B350" s="7" t="s">
        <v>64</v>
      </c>
      <c r="C350" s="7" t="n">
        <v>62431.3</v>
      </c>
      <c r="D350" s="7" t="n">
        <v>61916.9</v>
      </c>
      <c r="E350" s="7" t="n">
        <v>0.0083079094722119</v>
      </c>
      <c r="F350" s="7" t="s">
        <v>450</v>
      </c>
      <c r="G350" s="7" t="s">
        <v>451</v>
      </c>
      <c r="H350" s="7" t="s">
        <v>450</v>
      </c>
      <c r="I350" s="32" t="b">
        <f aca="false">FALSE()</f>
        <v>0</v>
      </c>
      <c r="J350" s="32" t="b">
        <f aca="false">FALSE()</f>
        <v>0</v>
      </c>
      <c r="K350" s="32" t="b">
        <f aca="false">FALSE()</f>
        <v>0</v>
      </c>
      <c r="L350" s="7" t="s">
        <v>445</v>
      </c>
      <c r="M350" s="7" t="s">
        <v>452</v>
      </c>
      <c r="N350" s="7" t="s">
        <v>453</v>
      </c>
      <c r="O350" s="7"/>
      <c r="P350" s="7"/>
      <c r="Q350" s="7"/>
      <c r="R350" s="7"/>
    </row>
    <row r="351" customFormat="false" ht="15" hidden="false" customHeight="false" outlineLevel="0" collapsed="false">
      <c r="A351" s="7" t="s">
        <v>340</v>
      </c>
      <c r="B351" s="7" t="s">
        <v>63</v>
      </c>
      <c r="C351" s="7" t="n">
        <v>62707.1</v>
      </c>
      <c r="D351" s="7" t="n">
        <v>62600.8</v>
      </c>
      <c r="E351" s="7" t="n">
        <v>0.0016980613666278</v>
      </c>
      <c r="F351" s="7" t="s">
        <v>60</v>
      </c>
      <c r="G351" s="7" t="s">
        <v>448</v>
      </c>
      <c r="H351" s="7" t="s">
        <v>67</v>
      </c>
      <c r="I351" s="32" t="b">
        <f aca="false">FALSE()</f>
        <v>0</v>
      </c>
      <c r="J351" s="32" t="b">
        <f aca="false">TRUE()</f>
        <v>1</v>
      </c>
      <c r="K351" s="32" t="b">
        <f aca="false">FALSE()</f>
        <v>0</v>
      </c>
      <c r="L351" s="7" t="s">
        <v>445</v>
      </c>
      <c r="M351" s="7" t="s">
        <v>446</v>
      </c>
      <c r="N351" s="7" t="s">
        <v>479</v>
      </c>
      <c r="O351" s="7" t="n">
        <v>62624.47</v>
      </c>
      <c r="P351" s="7" t="n">
        <v>62989.28</v>
      </c>
      <c r="Q351" s="7" t="n">
        <v>11.66</v>
      </c>
      <c r="R351" s="7" t="s">
        <v>69</v>
      </c>
    </row>
    <row r="352" customFormat="false" ht="15" hidden="false" customHeight="false" outlineLevel="0" collapsed="false">
      <c r="A352" s="7" t="s">
        <v>340</v>
      </c>
      <c r="B352" s="7" t="s">
        <v>64</v>
      </c>
      <c r="C352" s="7" t="n">
        <v>62127.5</v>
      </c>
      <c r="D352" s="7" t="n">
        <v>61348.5</v>
      </c>
      <c r="E352" s="7" t="n">
        <v>0.0126979469750686</v>
      </c>
      <c r="F352" s="7" t="s">
        <v>450</v>
      </c>
      <c r="G352" s="7" t="s">
        <v>451</v>
      </c>
      <c r="H352" s="7" t="s">
        <v>450</v>
      </c>
      <c r="I352" s="32" t="b">
        <f aca="false">FALSE()</f>
        <v>0</v>
      </c>
      <c r="J352" s="32" t="b">
        <f aca="false">FALSE()</f>
        <v>0</v>
      </c>
      <c r="K352" s="32" t="b">
        <f aca="false">FALSE()</f>
        <v>0</v>
      </c>
      <c r="L352" s="7" t="s">
        <v>445</v>
      </c>
      <c r="M352" s="7" t="s">
        <v>452</v>
      </c>
      <c r="N352" s="7" t="s">
        <v>453</v>
      </c>
      <c r="O352" s="7"/>
      <c r="P352" s="7"/>
      <c r="Q352" s="7"/>
      <c r="R352" s="7"/>
    </row>
    <row r="353" customFormat="false" ht="15" hidden="false" customHeight="false" outlineLevel="0" collapsed="false">
      <c r="A353" s="7" t="s">
        <v>341</v>
      </c>
      <c r="B353" s="7" t="s">
        <v>63</v>
      </c>
      <c r="C353" s="7" t="n">
        <v>61931.1</v>
      </c>
      <c r="D353" s="7" t="n">
        <v>61774.1</v>
      </c>
      <c r="E353" s="7" t="n">
        <v>0.0025415182090876</v>
      </c>
      <c r="F353" s="7" t="s">
        <v>60</v>
      </c>
      <c r="G353" s="7" t="s">
        <v>448</v>
      </c>
      <c r="H353" s="7" t="s">
        <v>67</v>
      </c>
      <c r="I353" s="32" t="b">
        <f aca="false">FALSE()</f>
        <v>0</v>
      </c>
      <c r="J353" s="32" t="b">
        <f aca="false">TRUE()</f>
        <v>1</v>
      </c>
      <c r="K353" s="32" t="b">
        <f aca="false">FALSE()</f>
        <v>0</v>
      </c>
      <c r="L353" s="7" t="s">
        <v>445</v>
      </c>
      <c r="M353" s="7" t="s">
        <v>446</v>
      </c>
      <c r="N353" s="7" t="s">
        <v>449</v>
      </c>
      <c r="O353" s="7" t="n">
        <v>61874.42</v>
      </c>
      <c r="P353" s="7" t="n">
        <v>62209.79</v>
      </c>
      <c r="Q353" s="7" t="n">
        <v>12.07</v>
      </c>
      <c r="R353" s="7" t="s">
        <v>69</v>
      </c>
    </row>
    <row r="354" customFormat="false" ht="15" hidden="false" customHeight="false" outlineLevel="0" collapsed="false">
      <c r="A354" s="7" t="s">
        <v>341</v>
      </c>
      <c r="B354" s="7" t="s">
        <v>64</v>
      </c>
      <c r="C354" s="7" t="n">
        <v>61319.8</v>
      </c>
      <c r="D354" s="7" t="n">
        <v>60050.6</v>
      </c>
      <c r="E354" s="7" t="n">
        <v>0.0211355090540311</v>
      </c>
      <c r="F354" s="7" t="s">
        <v>59</v>
      </c>
      <c r="G354" s="7" t="s">
        <v>444</v>
      </c>
      <c r="H354" s="7" t="s">
        <v>67</v>
      </c>
      <c r="I354" s="32" t="b">
        <f aca="false">TRUE()</f>
        <v>1</v>
      </c>
      <c r="J354" s="32" t="b">
        <f aca="false">FALSE()</f>
        <v>0</v>
      </c>
      <c r="K354" s="32" t="b">
        <f aca="false">FALSE()</f>
        <v>0</v>
      </c>
      <c r="L354" s="7" t="s">
        <v>445</v>
      </c>
      <c r="M354" s="7" t="s">
        <v>452</v>
      </c>
      <c r="N354" s="7" t="s">
        <v>548</v>
      </c>
      <c r="O354" s="7"/>
      <c r="P354" s="7"/>
      <c r="Q354" s="7"/>
      <c r="R354" s="7"/>
    </row>
    <row r="355" customFormat="false" ht="15" hidden="false" customHeight="false" outlineLevel="0" collapsed="false">
      <c r="A355" s="7" t="s">
        <v>342</v>
      </c>
      <c r="B355" s="7" t="s">
        <v>63</v>
      </c>
      <c r="C355" s="7" t="n">
        <v>60734</v>
      </c>
      <c r="D355" s="7" t="n">
        <v>60522</v>
      </c>
      <c r="E355" s="7" t="n">
        <v>0.0035028584646905</v>
      </c>
      <c r="F355" s="7" t="s">
        <v>450</v>
      </c>
      <c r="G355" s="7" t="s">
        <v>451</v>
      </c>
      <c r="H355" s="7" t="s">
        <v>450</v>
      </c>
      <c r="I355" s="32" t="b">
        <f aca="false">FALSE()</f>
        <v>0</v>
      </c>
      <c r="J355" s="32" t="b">
        <f aca="false">FALSE()</f>
        <v>0</v>
      </c>
      <c r="K355" s="32" t="b">
        <f aca="false">FALSE()</f>
        <v>0</v>
      </c>
      <c r="L355" s="7" t="s">
        <v>445</v>
      </c>
      <c r="M355" s="7" t="s">
        <v>452</v>
      </c>
      <c r="N355" s="7" t="s">
        <v>453</v>
      </c>
      <c r="O355" s="7"/>
      <c r="P355" s="7"/>
      <c r="Q355" s="7"/>
      <c r="R355" s="7"/>
    </row>
    <row r="356" customFormat="false" ht="15" hidden="false" customHeight="false" outlineLevel="0" collapsed="false">
      <c r="A356" s="7" t="s">
        <v>342</v>
      </c>
      <c r="B356" s="7" t="s">
        <v>64</v>
      </c>
      <c r="C356" s="7" t="n">
        <v>59493.2</v>
      </c>
      <c r="D356" s="7" t="n">
        <v>58810</v>
      </c>
      <c r="E356" s="7" t="n">
        <v>0.011617071926543</v>
      </c>
      <c r="F356" s="7" t="s">
        <v>59</v>
      </c>
      <c r="G356" s="7" t="s">
        <v>444</v>
      </c>
      <c r="H356" s="7" t="s">
        <v>66</v>
      </c>
      <c r="I356" s="32" t="b">
        <f aca="false">TRUE()</f>
        <v>1</v>
      </c>
      <c r="J356" s="32" t="b">
        <f aca="false">FALSE()</f>
        <v>0</v>
      </c>
      <c r="K356" s="32" t="b">
        <f aca="false">FALSE()</f>
        <v>0</v>
      </c>
      <c r="L356" s="7" t="s">
        <v>445</v>
      </c>
      <c r="M356" s="7" t="s">
        <v>446</v>
      </c>
      <c r="N356" s="7" t="s">
        <v>549</v>
      </c>
      <c r="O356" s="7" t="n">
        <v>60165.53</v>
      </c>
      <c r="P356" s="7" t="n">
        <v>59403.96</v>
      </c>
      <c r="Q356" s="7" t="n">
        <v>-74.36</v>
      </c>
      <c r="R356" s="7" t="s">
        <v>70</v>
      </c>
    </row>
    <row r="357" customFormat="false" ht="15" hidden="false" customHeight="false" outlineLevel="0" collapsed="false">
      <c r="A357" s="7" t="s">
        <v>343</v>
      </c>
      <c r="B357" s="7" t="s">
        <v>63</v>
      </c>
      <c r="C357" s="7" t="n">
        <v>60440.5</v>
      </c>
      <c r="D357" s="7" t="n">
        <v>60354.1</v>
      </c>
      <c r="E357" s="7" t="n">
        <v>0.0014315514604641</v>
      </c>
      <c r="F357" s="7" t="s">
        <v>59</v>
      </c>
      <c r="G357" s="7" t="s">
        <v>444</v>
      </c>
      <c r="H357" s="7" t="s">
        <v>66</v>
      </c>
      <c r="I357" s="32" t="b">
        <f aca="false">TRUE()</f>
        <v>1</v>
      </c>
      <c r="J357" s="32" t="b">
        <f aca="false">FALSE()</f>
        <v>0</v>
      </c>
      <c r="K357" s="32" t="b">
        <f aca="false">FALSE()</f>
        <v>0</v>
      </c>
      <c r="L357" s="7" t="s">
        <v>445</v>
      </c>
      <c r="M357" s="7" t="s">
        <v>446</v>
      </c>
      <c r="N357" s="7" t="s">
        <v>550</v>
      </c>
      <c r="O357" s="7" t="n">
        <v>60534.5</v>
      </c>
      <c r="P357" s="7" t="n">
        <v>60349.84</v>
      </c>
      <c r="Q357" s="7" t="n">
        <v>-141.79</v>
      </c>
      <c r="R357" s="7" t="s">
        <v>70</v>
      </c>
    </row>
    <row r="358" customFormat="false" ht="15" hidden="false" customHeight="false" outlineLevel="0" collapsed="false">
      <c r="A358" s="7" t="s">
        <v>343</v>
      </c>
      <c r="B358" s="7" t="s">
        <v>64</v>
      </c>
      <c r="C358" s="7" t="n">
        <v>60643.1</v>
      </c>
      <c r="D358" s="7" t="n">
        <v>60419.9</v>
      </c>
      <c r="E358" s="7" t="n">
        <v>0.0036941471270226</v>
      </c>
      <c r="F358" s="7" t="s">
        <v>450</v>
      </c>
      <c r="G358" s="7" t="s">
        <v>451</v>
      </c>
      <c r="H358" s="7" t="s">
        <v>450</v>
      </c>
      <c r="I358" s="32" t="b">
        <f aca="false">FALSE()</f>
        <v>0</v>
      </c>
      <c r="J358" s="32" t="b">
        <f aca="false">FALSE()</f>
        <v>0</v>
      </c>
      <c r="K358" s="32" t="b">
        <f aca="false">FALSE()</f>
        <v>0</v>
      </c>
      <c r="L358" s="7" t="s">
        <v>445</v>
      </c>
      <c r="M358" s="7" t="s">
        <v>452</v>
      </c>
      <c r="N358" s="7" t="s">
        <v>453</v>
      </c>
      <c r="O358" s="7"/>
      <c r="P358" s="7"/>
      <c r="Q358" s="7"/>
      <c r="R358" s="7"/>
    </row>
    <row r="359" customFormat="false" ht="15" hidden="false" customHeight="false" outlineLevel="0" collapsed="false">
      <c r="A359" s="7" t="s">
        <v>344</v>
      </c>
      <c r="B359" s="7" t="s">
        <v>63</v>
      </c>
      <c r="C359" s="7" t="n">
        <v>60247.1</v>
      </c>
      <c r="D359" s="7" t="n">
        <v>60073.4</v>
      </c>
      <c r="E359" s="7" t="n">
        <v>0.0028914627772025</v>
      </c>
      <c r="F359" s="7" t="s">
        <v>60</v>
      </c>
      <c r="G359" s="7" t="s">
        <v>448</v>
      </c>
      <c r="H359" s="7" t="s">
        <v>67</v>
      </c>
      <c r="I359" s="32" t="b">
        <f aca="false">FALSE()</f>
        <v>0</v>
      </c>
      <c r="J359" s="32" t="b">
        <f aca="false">TRUE()</f>
        <v>1</v>
      </c>
      <c r="K359" s="32" t="b">
        <f aca="false">FALSE()</f>
        <v>0</v>
      </c>
      <c r="L359" s="7" t="s">
        <v>445</v>
      </c>
      <c r="M359" s="7" t="s">
        <v>446</v>
      </c>
      <c r="N359" s="7" t="s">
        <v>449</v>
      </c>
      <c r="O359" s="7" t="n">
        <v>60180.36</v>
      </c>
      <c r="P359" s="7" t="n">
        <v>60518.21</v>
      </c>
      <c r="Q359" s="7" t="n">
        <v>-111.23</v>
      </c>
      <c r="R359" s="7" t="s">
        <v>70</v>
      </c>
    </row>
    <row r="360" customFormat="false" ht="15" hidden="false" customHeight="false" outlineLevel="0" collapsed="false">
      <c r="A360" s="7" t="s">
        <v>344</v>
      </c>
      <c r="B360" s="7" t="s">
        <v>64</v>
      </c>
      <c r="C360" s="7" t="n">
        <v>60160.7</v>
      </c>
      <c r="D360" s="7" t="n">
        <v>60012.2</v>
      </c>
      <c r="E360" s="7" t="n">
        <v>0.0024744968523066</v>
      </c>
      <c r="F360" s="7" t="s">
        <v>60</v>
      </c>
      <c r="G360" s="7" t="s">
        <v>459</v>
      </c>
      <c r="H360" s="7" t="s">
        <v>66</v>
      </c>
      <c r="I360" s="32" t="b">
        <f aca="false">FALSE()</f>
        <v>0</v>
      </c>
      <c r="J360" s="32" t="b">
        <f aca="false">TRUE()</f>
        <v>1</v>
      </c>
      <c r="K360" s="32" t="b">
        <f aca="false">FALSE()</f>
        <v>0</v>
      </c>
      <c r="L360" s="7" t="s">
        <v>445</v>
      </c>
      <c r="M360" s="7" t="s">
        <v>446</v>
      </c>
      <c r="N360" s="7" t="s">
        <v>510</v>
      </c>
      <c r="O360" s="7" t="n">
        <v>60162.03</v>
      </c>
      <c r="P360" s="7" t="n">
        <v>59742.15</v>
      </c>
      <c r="Q360" s="7" t="n">
        <v>-88.76</v>
      </c>
      <c r="R360" s="7" t="s">
        <v>70</v>
      </c>
    </row>
    <row r="361" customFormat="false" ht="15" hidden="false" customHeight="false" outlineLevel="0" collapsed="false">
      <c r="A361" s="7" t="s">
        <v>551</v>
      </c>
      <c r="B361" s="7" t="s">
        <v>63</v>
      </c>
      <c r="C361" s="7" t="n">
        <v>60110.8</v>
      </c>
      <c r="D361" s="7" t="n">
        <v>60017.8</v>
      </c>
      <c r="E361" s="7" t="n">
        <v>0.0015495403030434</v>
      </c>
      <c r="F361" s="7" t="s">
        <v>450</v>
      </c>
      <c r="G361" s="7" t="s">
        <v>451</v>
      </c>
      <c r="H361" s="7" t="s">
        <v>450</v>
      </c>
      <c r="I361" s="32" t="b">
        <f aca="false">FALSE()</f>
        <v>0</v>
      </c>
      <c r="J361" s="32" t="b">
        <f aca="false">FALSE()</f>
        <v>0</v>
      </c>
      <c r="K361" s="32" t="b">
        <f aca="false">FALSE()</f>
        <v>0</v>
      </c>
      <c r="L361" s="7" t="s">
        <v>445</v>
      </c>
      <c r="M361" s="7" t="s">
        <v>452</v>
      </c>
      <c r="N361" s="7" t="s">
        <v>458</v>
      </c>
      <c r="O361" s="7"/>
      <c r="P361" s="7"/>
      <c r="Q361" s="7"/>
      <c r="R361" s="7"/>
    </row>
    <row r="362" customFormat="false" ht="15" hidden="false" customHeight="false" outlineLevel="0" collapsed="false">
      <c r="A362" s="7" t="s">
        <v>551</v>
      </c>
      <c r="B362" s="7" t="s">
        <v>64</v>
      </c>
      <c r="C362" s="7" t="n">
        <v>60253.3</v>
      </c>
      <c r="D362" s="7" t="n">
        <v>59421</v>
      </c>
      <c r="E362" s="7" t="n">
        <v>0.0140068326012689</v>
      </c>
      <c r="F362" s="7" t="s">
        <v>450</v>
      </c>
      <c r="G362" s="7" t="s">
        <v>451</v>
      </c>
      <c r="H362" s="7" t="s">
        <v>450</v>
      </c>
      <c r="I362" s="32" t="b">
        <f aca="false">FALSE()</f>
        <v>0</v>
      </c>
      <c r="J362" s="32" t="b">
        <f aca="false">FALSE()</f>
        <v>0</v>
      </c>
      <c r="K362" s="32" t="b">
        <f aca="false">FALSE()</f>
        <v>0</v>
      </c>
      <c r="L362" s="7" t="s">
        <v>445</v>
      </c>
      <c r="M362" s="7" t="s">
        <v>452</v>
      </c>
      <c r="N362" s="7" t="s">
        <v>458</v>
      </c>
      <c r="O362" s="7"/>
      <c r="P362" s="7"/>
      <c r="Q362" s="7"/>
      <c r="R362" s="7"/>
    </row>
    <row r="363" customFormat="false" ht="15" hidden="false" customHeight="false" outlineLevel="0" collapsed="false">
      <c r="A363" s="7" t="s">
        <v>345</v>
      </c>
      <c r="B363" s="7" t="s">
        <v>63</v>
      </c>
      <c r="C363" s="7" t="n">
        <v>59547</v>
      </c>
      <c r="D363" s="7" t="n">
        <v>59441.6</v>
      </c>
      <c r="E363" s="7" t="n">
        <v>0.0017731689591128</v>
      </c>
      <c r="F363" s="7" t="s">
        <v>60</v>
      </c>
      <c r="G363" s="7" t="s">
        <v>448</v>
      </c>
      <c r="H363" s="7" t="s">
        <v>67</v>
      </c>
      <c r="I363" s="32" t="b">
        <f aca="false">FALSE()</f>
        <v>0</v>
      </c>
      <c r="J363" s="32" t="b">
        <f aca="false">TRUE()</f>
        <v>1</v>
      </c>
      <c r="K363" s="32" t="b">
        <f aca="false">FALSE()</f>
        <v>0</v>
      </c>
      <c r="L363" s="7" t="s">
        <v>445</v>
      </c>
      <c r="M363" s="7" t="s">
        <v>446</v>
      </c>
      <c r="N363" s="7" t="s">
        <v>449</v>
      </c>
      <c r="O363" s="7" t="n">
        <v>59485.8</v>
      </c>
      <c r="P363" s="7" t="n">
        <v>59814.96</v>
      </c>
      <c r="Q363" s="7" t="n">
        <v>30.62</v>
      </c>
      <c r="R363" s="7" t="s">
        <v>69</v>
      </c>
    </row>
    <row r="364" customFormat="false" ht="15" hidden="false" customHeight="false" outlineLevel="0" collapsed="false">
      <c r="A364" s="7" t="s">
        <v>345</v>
      </c>
      <c r="B364" s="7" t="s">
        <v>64</v>
      </c>
      <c r="C364" s="7" t="n">
        <v>58732</v>
      </c>
      <c r="D364" s="7" t="n">
        <v>58200</v>
      </c>
      <c r="E364" s="7" t="n">
        <v>0.0091408934707903</v>
      </c>
      <c r="F364" s="7" t="s">
        <v>450</v>
      </c>
      <c r="G364" s="7" t="s">
        <v>451</v>
      </c>
      <c r="H364" s="7" t="s">
        <v>450</v>
      </c>
      <c r="I364" s="32" t="b">
        <f aca="false">FALSE()</f>
        <v>0</v>
      </c>
      <c r="J364" s="32" t="b">
        <f aca="false">FALSE()</f>
        <v>0</v>
      </c>
      <c r="K364" s="32" t="b">
        <f aca="false">FALSE()</f>
        <v>0</v>
      </c>
      <c r="L364" s="7" t="s">
        <v>445</v>
      </c>
      <c r="M364" s="7" t="s">
        <v>452</v>
      </c>
      <c r="N364" s="7" t="s">
        <v>453</v>
      </c>
      <c r="O364" s="7"/>
      <c r="P364" s="7"/>
      <c r="Q364" s="7"/>
      <c r="R364" s="7"/>
    </row>
    <row r="365" customFormat="false" ht="15" hidden="false" customHeight="false" outlineLevel="0" collapsed="false">
      <c r="A365" s="7" t="s">
        <v>346</v>
      </c>
      <c r="B365" s="7" t="s">
        <v>63</v>
      </c>
      <c r="C365" s="7" t="n">
        <v>58728.8</v>
      </c>
      <c r="D365" s="7" t="n">
        <v>58611.2</v>
      </c>
      <c r="E365" s="7" t="n">
        <v>0.0020064424546845</v>
      </c>
      <c r="F365" s="7" t="s">
        <v>450</v>
      </c>
      <c r="G365" s="7" t="s">
        <v>451</v>
      </c>
      <c r="H365" s="7" t="s">
        <v>450</v>
      </c>
      <c r="I365" s="32" t="b">
        <f aca="false">FALSE()</f>
        <v>0</v>
      </c>
      <c r="J365" s="32" t="b">
        <f aca="false">FALSE()</f>
        <v>0</v>
      </c>
      <c r="K365" s="32" t="b">
        <f aca="false">FALSE()</f>
        <v>0</v>
      </c>
      <c r="L365" s="7" t="s">
        <v>445</v>
      </c>
      <c r="M365" s="7" t="s">
        <v>452</v>
      </c>
      <c r="N365" s="7" t="s">
        <v>453</v>
      </c>
      <c r="O365" s="7"/>
      <c r="P365" s="7"/>
      <c r="Q365" s="7"/>
      <c r="R365" s="7"/>
    </row>
    <row r="366" customFormat="false" ht="15" hidden="false" customHeight="false" outlineLevel="0" collapsed="false">
      <c r="A366" s="7" t="s">
        <v>346</v>
      </c>
      <c r="B366" s="7" t="s">
        <v>64</v>
      </c>
      <c r="C366" s="7" t="n">
        <v>59051</v>
      </c>
      <c r="D366" s="7" t="n">
        <v>58571</v>
      </c>
      <c r="E366" s="7" t="n">
        <v>0.0081951819159652</v>
      </c>
      <c r="F366" s="7" t="s">
        <v>59</v>
      </c>
      <c r="G366" s="7" t="s">
        <v>444</v>
      </c>
      <c r="H366" s="7" t="s">
        <v>66</v>
      </c>
      <c r="I366" s="32" t="b">
        <f aca="false">TRUE()</f>
        <v>1</v>
      </c>
      <c r="J366" s="32" t="b">
        <f aca="false">FALSE()</f>
        <v>0</v>
      </c>
      <c r="K366" s="32" t="b">
        <f aca="false">FALSE()</f>
        <v>0</v>
      </c>
      <c r="L366" s="7" t="s">
        <v>445</v>
      </c>
      <c r="M366" s="7" t="s">
        <v>446</v>
      </c>
      <c r="N366" s="7" t="s">
        <v>552</v>
      </c>
      <c r="O366" s="7" t="n">
        <v>59474.89</v>
      </c>
      <c r="P366" s="7" t="n">
        <v>58962.42</v>
      </c>
      <c r="Q366" s="7" t="n">
        <v>40.02</v>
      </c>
      <c r="R366" s="7" t="s">
        <v>69</v>
      </c>
    </row>
    <row r="367" customFormat="false" ht="15" hidden="false" customHeight="false" outlineLevel="0" collapsed="false">
      <c r="A367" s="7" t="s">
        <v>347</v>
      </c>
      <c r="B367" s="7" t="s">
        <v>63</v>
      </c>
      <c r="C367" s="7" t="n">
        <v>60197.8</v>
      </c>
      <c r="D367" s="7" t="n">
        <v>60089.9</v>
      </c>
      <c r="E367" s="7" t="n">
        <v>0.0017956428617787</v>
      </c>
      <c r="F367" s="7" t="s">
        <v>60</v>
      </c>
      <c r="G367" s="7" t="s">
        <v>448</v>
      </c>
      <c r="H367" s="7" t="s">
        <v>67</v>
      </c>
      <c r="I367" s="32" t="b">
        <f aca="false">FALSE()</f>
        <v>0</v>
      </c>
      <c r="J367" s="32" t="b">
        <f aca="false">TRUE()</f>
        <v>1</v>
      </c>
      <c r="K367" s="32" t="b">
        <f aca="false">FALSE()</f>
        <v>0</v>
      </c>
      <c r="L367" s="7" t="s">
        <v>445</v>
      </c>
      <c r="M367" s="7" t="s">
        <v>446</v>
      </c>
      <c r="N367" s="7" t="s">
        <v>469</v>
      </c>
      <c r="O367" s="7" t="n">
        <v>60113.77</v>
      </c>
      <c r="P367" s="7" t="n">
        <v>60468.69</v>
      </c>
      <c r="Q367" s="7" t="n">
        <v>-115.72</v>
      </c>
      <c r="R367" s="7" t="s">
        <v>70</v>
      </c>
    </row>
    <row r="368" customFormat="false" ht="15" hidden="false" customHeight="false" outlineLevel="0" collapsed="false">
      <c r="A368" s="7" t="s">
        <v>347</v>
      </c>
      <c r="B368" s="7" t="s">
        <v>64</v>
      </c>
      <c r="C368" s="7" t="n">
        <v>62077.3</v>
      </c>
      <c r="D368" s="7" t="n">
        <v>61499.8</v>
      </c>
      <c r="E368" s="7" t="n">
        <v>0.0093902744399168</v>
      </c>
      <c r="F368" s="7" t="s">
        <v>60</v>
      </c>
      <c r="G368" s="7" t="s">
        <v>448</v>
      </c>
      <c r="H368" s="7" t="s">
        <v>67</v>
      </c>
      <c r="I368" s="32" t="b">
        <f aca="false">FALSE()</f>
        <v>0</v>
      </c>
      <c r="J368" s="32" t="b">
        <f aca="false">TRUE()</f>
        <v>1</v>
      </c>
      <c r="K368" s="32" t="b">
        <f aca="false">FALSE()</f>
        <v>0</v>
      </c>
      <c r="L368" s="7" t="s">
        <v>445</v>
      </c>
      <c r="M368" s="7" t="s">
        <v>446</v>
      </c>
      <c r="N368" s="7" t="s">
        <v>476</v>
      </c>
      <c r="O368" s="7" t="n">
        <v>61636.67</v>
      </c>
      <c r="P368" s="7" t="n">
        <v>62356.65</v>
      </c>
      <c r="Q368" s="7" t="n">
        <v>22.56</v>
      </c>
      <c r="R368" s="7" t="s">
        <v>69</v>
      </c>
    </row>
    <row r="369" customFormat="false" ht="15" hidden="false" customHeight="false" outlineLevel="0" collapsed="false">
      <c r="A369" s="7" t="s">
        <v>348</v>
      </c>
      <c r="B369" s="7" t="s">
        <v>63</v>
      </c>
      <c r="C369" s="7" t="n">
        <v>61819</v>
      </c>
      <c r="D369" s="7" t="n">
        <v>61716.9</v>
      </c>
      <c r="E369" s="7" t="n">
        <v>0.0016543280689729</v>
      </c>
      <c r="F369" s="7" t="s">
        <v>60</v>
      </c>
      <c r="G369" s="7" t="s">
        <v>448</v>
      </c>
      <c r="H369" s="7" t="s">
        <v>67</v>
      </c>
      <c r="I369" s="32" t="b">
        <f aca="false">FALSE()</f>
        <v>0</v>
      </c>
      <c r="J369" s="32" t="b">
        <f aca="false">TRUE()</f>
        <v>1</v>
      </c>
      <c r="K369" s="32" t="b">
        <f aca="false">FALSE()</f>
        <v>0</v>
      </c>
      <c r="L369" s="7" t="s">
        <v>445</v>
      </c>
      <c r="M369" s="7" t="s">
        <v>446</v>
      </c>
      <c r="N369" s="7" t="s">
        <v>472</v>
      </c>
      <c r="O369" s="7" t="n">
        <v>61721.35</v>
      </c>
      <c r="P369" s="7" t="n">
        <v>62097.19</v>
      </c>
      <c r="Q369" s="7" t="n">
        <v>11.73</v>
      </c>
      <c r="R369" s="7" t="s">
        <v>69</v>
      </c>
    </row>
    <row r="370" customFormat="false" ht="15" hidden="false" customHeight="false" outlineLevel="0" collapsed="false">
      <c r="A370" s="7" t="s">
        <v>348</v>
      </c>
      <c r="B370" s="7" t="s">
        <v>64</v>
      </c>
      <c r="C370" s="7" t="n">
        <v>62171</v>
      </c>
      <c r="D370" s="7" t="n">
        <v>61991</v>
      </c>
      <c r="E370" s="7" t="n">
        <v>0.0029036473036408</v>
      </c>
      <c r="F370" s="7" t="s">
        <v>60</v>
      </c>
      <c r="G370" s="7" t="s">
        <v>448</v>
      </c>
      <c r="H370" s="7" t="s">
        <v>67</v>
      </c>
      <c r="I370" s="32" t="b">
        <f aca="false">FALSE()</f>
        <v>0</v>
      </c>
      <c r="J370" s="32" t="b">
        <f aca="false">TRUE()</f>
        <v>1</v>
      </c>
      <c r="K370" s="32" t="b">
        <f aca="false">FALSE()</f>
        <v>0</v>
      </c>
      <c r="L370" s="7" t="s">
        <v>445</v>
      </c>
      <c r="M370" s="7" t="s">
        <v>446</v>
      </c>
      <c r="N370" s="7" t="s">
        <v>469</v>
      </c>
      <c r="O370" s="7" t="n">
        <v>62071.48</v>
      </c>
      <c r="P370" s="7" t="n">
        <v>62450.77</v>
      </c>
      <c r="Q370" s="7" t="n">
        <v>30.09</v>
      </c>
      <c r="R370" s="7" t="s">
        <v>69</v>
      </c>
    </row>
    <row r="371" customFormat="false" ht="15" hidden="false" customHeight="false" outlineLevel="0" collapsed="false">
      <c r="A371" s="7" t="s">
        <v>349</v>
      </c>
      <c r="B371" s="7" t="s">
        <v>63</v>
      </c>
      <c r="C371" s="7" t="n">
        <v>62539.4</v>
      </c>
      <c r="D371" s="7" t="n">
        <v>62453.4</v>
      </c>
      <c r="E371" s="7" t="n">
        <v>0.0013770267111158</v>
      </c>
      <c r="F371" s="7" t="s">
        <v>450</v>
      </c>
      <c r="G371" s="7" t="s">
        <v>451</v>
      </c>
      <c r="H371" s="7" t="s">
        <v>450</v>
      </c>
      <c r="I371" s="32" t="b">
        <f aca="false">FALSE()</f>
        <v>0</v>
      </c>
      <c r="J371" s="32" t="b">
        <f aca="false">FALSE()</f>
        <v>0</v>
      </c>
      <c r="K371" s="32" t="b">
        <f aca="false">FALSE()</f>
        <v>0</v>
      </c>
      <c r="L371" s="7" t="s">
        <v>445</v>
      </c>
      <c r="M371" s="7" t="s">
        <v>452</v>
      </c>
      <c r="N371" s="7" t="s">
        <v>453</v>
      </c>
      <c r="O371" s="7"/>
      <c r="P371" s="7"/>
      <c r="Q371" s="7"/>
      <c r="R371" s="7"/>
    </row>
    <row r="372" customFormat="false" ht="15" hidden="false" customHeight="false" outlineLevel="0" collapsed="false">
      <c r="A372" s="7" t="s">
        <v>349</v>
      </c>
      <c r="B372" s="7" t="s">
        <v>64</v>
      </c>
      <c r="C372" s="7" t="n">
        <v>62631</v>
      </c>
      <c r="D372" s="7" t="n">
        <v>62527</v>
      </c>
      <c r="E372" s="7" t="n">
        <v>0.0016632814624082</v>
      </c>
      <c r="F372" s="7" t="s">
        <v>60</v>
      </c>
      <c r="G372" s="7" t="s">
        <v>459</v>
      </c>
      <c r="H372" s="7" t="s">
        <v>66</v>
      </c>
      <c r="I372" s="32" t="b">
        <f aca="false">FALSE()</f>
        <v>0</v>
      </c>
      <c r="J372" s="32" t="b">
        <f aca="false">TRUE()</f>
        <v>1</v>
      </c>
      <c r="K372" s="32" t="b">
        <f aca="false">FALSE()</f>
        <v>0</v>
      </c>
      <c r="L372" s="7" t="s">
        <v>445</v>
      </c>
      <c r="M372" s="7" t="s">
        <v>446</v>
      </c>
      <c r="N372" s="7" t="s">
        <v>460</v>
      </c>
      <c r="O372" s="7" t="n">
        <v>62575.41</v>
      </c>
      <c r="P372" s="7" t="n">
        <v>62245.63</v>
      </c>
      <c r="Q372" s="7" t="n">
        <v>63.96</v>
      </c>
      <c r="R372" s="7" t="s">
        <v>69</v>
      </c>
    </row>
    <row r="373" customFormat="false" ht="15" hidden="false" customHeight="false" outlineLevel="0" collapsed="false">
      <c r="A373" s="7" t="s">
        <v>553</v>
      </c>
      <c r="B373" s="7" t="s">
        <v>63</v>
      </c>
      <c r="C373" s="7" t="n">
        <v>62920.1</v>
      </c>
      <c r="D373" s="7" t="n">
        <v>62726.3</v>
      </c>
      <c r="E373" s="7" t="n">
        <v>0.0030896131287832</v>
      </c>
      <c r="F373" s="7" t="s">
        <v>450</v>
      </c>
      <c r="G373" s="7" t="s">
        <v>451</v>
      </c>
      <c r="H373" s="7" t="s">
        <v>450</v>
      </c>
      <c r="I373" s="32" t="b">
        <f aca="false">FALSE()</f>
        <v>0</v>
      </c>
      <c r="J373" s="32" t="b">
        <f aca="false">FALSE()</f>
        <v>0</v>
      </c>
      <c r="K373" s="32" t="b">
        <f aca="false">FALSE()</f>
        <v>0</v>
      </c>
      <c r="L373" s="7" t="s">
        <v>445</v>
      </c>
      <c r="M373" s="7" t="s">
        <v>452</v>
      </c>
      <c r="N373" s="7" t="s">
        <v>453</v>
      </c>
      <c r="O373" s="7"/>
      <c r="P373" s="7"/>
      <c r="Q373" s="7"/>
      <c r="R373" s="7"/>
    </row>
    <row r="374" customFormat="false" ht="15" hidden="false" customHeight="false" outlineLevel="0" collapsed="false">
      <c r="A374" s="7" t="s">
        <v>553</v>
      </c>
      <c r="B374" s="7" t="s">
        <v>64</v>
      </c>
      <c r="C374" s="7" t="n">
        <v>62732.6</v>
      </c>
      <c r="D374" s="7" t="n">
        <v>62648.6</v>
      </c>
      <c r="E374" s="7" t="n">
        <v>0.0013408120851862</v>
      </c>
      <c r="F374" s="7" t="s">
        <v>450</v>
      </c>
      <c r="G374" s="7" t="s">
        <v>451</v>
      </c>
      <c r="H374" s="7" t="s">
        <v>450</v>
      </c>
      <c r="I374" s="32" t="b">
        <f aca="false">FALSE()</f>
        <v>0</v>
      </c>
      <c r="J374" s="32" t="b">
        <f aca="false">FALSE()</f>
        <v>0</v>
      </c>
      <c r="K374" s="32" t="b">
        <f aca="false">FALSE()</f>
        <v>0</v>
      </c>
      <c r="L374" s="7" t="s">
        <v>445</v>
      </c>
      <c r="M374" s="7" t="s">
        <v>452</v>
      </c>
      <c r="N374" s="7" t="s">
        <v>453</v>
      </c>
      <c r="O374" s="7"/>
      <c r="P374" s="7"/>
      <c r="Q374" s="7"/>
      <c r="R374" s="7"/>
    </row>
    <row r="375" customFormat="false" ht="15" hidden="false" customHeight="false" outlineLevel="0" collapsed="false">
      <c r="A375" s="7" t="s">
        <v>350</v>
      </c>
      <c r="B375" s="7" t="s">
        <v>63</v>
      </c>
      <c r="C375" s="7" t="n">
        <v>63094.9</v>
      </c>
      <c r="D375" s="7" t="n">
        <v>62888</v>
      </c>
      <c r="E375" s="7" t="n">
        <v>0.003289975830047</v>
      </c>
      <c r="F375" s="7" t="s">
        <v>60</v>
      </c>
      <c r="G375" s="7" t="s">
        <v>448</v>
      </c>
      <c r="H375" s="7" t="s">
        <v>67</v>
      </c>
      <c r="I375" s="32" t="b">
        <f aca="false">FALSE()</f>
        <v>0</v>
      </c>
      <c r="J375" s="32" t="b">
        <f aca="false">TRUE()</f>
        <v>1</v>
      </c>
      <c r="K375" s="32" t="b">
        <f aca="false">FALSE()</f>
        <v>0</v>
      </c>
      <c r="L375" s="7" t="s">
        <v>445</v>
      </c>
      <c r="M375" s="7" t="s">
        <v>446</v>
      </c>
      <c r="N375" s="7" t="s">
        <v>472</v>
      </c>
      <c r="O375" s="7" t="n">
        <v>63051.89</v>
      </c>
      <c r="P375" s="7" t="n">
        <v>63378.83</v>
      </c>
      <c r="Q375" s="7" t="n">
        <v>19.98</v>
      </c>
      <c r="R375" s="7" t="s">
        <v>69</v>
      </c>
    </row>
    <row r="376" customFormat="false" ht="15" hidden="false" customHeight="false" outlineLevel="0" collapsed="false">
      <c r="A376" s="7" t="s">
        <v>350</v>
      </c>
      <c r="B376" s="7" t="s">
        <v>64</v>
      </c>
      <c r="C376" s="7" t="n">
        <v>61643.6</v>
      </c>
      <c r="D376" s="7" t="n">
        <v>61297</v>
      </c>
      <c r="E376" s="7" t="n">
        <v>0.0056544365955919</v>
      </c>
      <c r="F376" s="7" t="s">
        <v>59</v>
      </c>
      <c r="G376" s="7" t="s">
        <v>444</v>
      </c>
      <c r="H376" s="7" t="s">
        <v>66</v>
      </c>
      <c r="I376" s="32" t="b">
        <f aca="false">TRUE()</f>
        <v>1</v>
      </c>
      <c r="J376" s="32" t="b">
        <f aca="false">FALSE()</f>
        <v>0</v>
      </c>
      <c r="K376" s="32" t="b">
        <f aca="false">FALSE()</f>
        <v>0</v>
      </c>
      <c r="L376" s="7" t="s">
        <v>445</v>
      </c>
      <c r="M376" s="7" t="s">
        <v>446</v>
      </c>
      <c r="N376" s="7" t="s">
        <v>554</v>
      </c>
      <c r="O376" s="7" t="n">
        <v>61764.05</v>
      </c>
      <c r="P376" s="7" t="n">
        <v>61551.13</v>
      </c>
      <c r="Q376" s="7" t="n">
        <v>21.54</v>
      </c>
      <c r="R376" s="7" t="s">
        <v>69</v>
      </c>
    </row>
    <row r="377" customFormat="false" ht="15" hidden="false" customHeight="false" outlineLevel="0" collapsed="false">
      <c r="A377" s="7" t="s">
        <v>351</v>
      </c>
      <c r="B377" s="7" t="s">
        <v>63</v>
      </c>
      <c r="C377" s="7" t="n">
        <v>63249.8</v>
      </c>
      <c r="D377" s="7" t="n">
        <v>63062</v>
      </c>
      <c r="E377" s="7" t="n">
        <v>0.0029780216295075</v>
      </c>
      <c r="F377" s="7" t="s">
        <v>60</v>
      </c>
      <c r="G377" s="7" t="s">
        <v>459</v>
      </c>
      <c r="H377" s="7" t="s">
        <v>66</v>
      </c>
      <c r="I377" s="32" t="b">
        <f aca="false">FALSE()</f>
        <v>0</v>
      </c>
      <c r="J377" s="32" t="b">
        <f aca="false">TRUE()</f>
        <v>1</v>
      </c>
      <c r="K377" s="32" t="b">
        <f aca="false">FALSE()</f>
        <v>0</v>
      </c>
      <c r="L377" s="7" t="s">
        <v>445</v>
      </c>
      <c r="M377" s="7" t="s">
        <v>446</v>
      </c>
      <c r="N377" s="7" t="s">
        <v>510</v>
      </c>
      <c r="O377" s="7" t="n">
        <v>63109.22</v>
      </c>
      <c r="P377" s="7" t="n">
        <v>62778.22</v>
      </c>
      <c r="Q377" s="7" t="n">
        <v>13.33</v>
      </c>
      <c r="R377" s="7" t="s">
        <v>69</v>
      </c>
    </row>
    <row r="378" customFormat="false" ht="15" hidden="false" customHeight="false" outlineLevel="0" collapsed="false">
      <c r="A378" s="7" t="s">
        <v>351</v>
      </c>
      <c r="B378" s="7" t="s">
        <v>64</v>
      </c>
      <c r="C378" s="7" t="n">
        <v>63232.1</v>
      </c>
      <c r="D378" s="7" t="n">
        <v>62960.3</v>
      </c>
      <c r="E378" s="7" t="n">
        <v>0.0043170061133761</v>
      </c>
      <c r="F378" s="7" t="s">
        <v>60</v>
      </c>
      <c r="G378" s="7" t="s">
        <v>448</v>
      </c>
      <c r="H378" s="7" t="s">
        <v>67</v>
      </c>
      <c r="I378" s="32" t="b">
        <f aca="false">FALSE()</f>
        <v>0</v>
      </c>
      <c r="J378" s="32" t="b">
        <f aca="false">TRUE()</f>
        <v>1</v>
      </c>
      <c r="K378" s="32" t="b">
        <f aca="false">FALSE()</f>
        <v>0</v>
      </c>
      <c r="L378" s="7" t="s">
        <v>445</v>
      </c>
      <c r="M378" s="7" t="s">
        <v>446</v>
      </c>
      <c r="N378" s="7" t="s">
        <v>469</v>
      </c>
      <c r="O378" s="7" t="n">
        <v>63020.69</v>
      </c>
      <c r="P378" s="7" t="n">
        <v>63516.64</v>
      </c>
      <c r="Q378" s="7" t="n">
        <v>29.22</v>
      </c>
      <c r="R378" s="7" t="s">
        <v>69</v>
      </c>
    </row>
    <row r="379" customFormat="false" ht="15" hidden="false" customHeight="false" outlineLevel="0" collapsed="false">
      <c r="A379" s="7" t="s">
        <v>352</v>
      </c>
      <c r="B379" s="7" t="s">
        <v>63</v>
      </c>
      <c r="C379" s="7" t="n">
        <v>62850</v>
      </c>
      <c r="D379" s="7" t="n">
        <v>62728.9</v>
      </c>
      <c r="E379" s="7" t="n">
        <v>0.0019305296282893</v>
      </c>
      <c r="F379" s="7" t="s">
        <v>450</v>
      </c>
      <c r="G379" s="7" t="s">
        <v>451</v>
      </c>
      <c r="H379" s="7" t="s">
        <v>450</v>
      </c>
      <c r="I379" s="32" t="b">
        <f aca="false">FALSE()</f>
        <v>0</v>
      </c>
      <c r="J379" s="32" t="b">
        <f aca="false">FALSE()</f>
        <v>0</v>
      </c>
      <c r="K379" s="32" t="b">
        <f aca="false">FALSE()</f>
        <v>0</v>
      </c>
      <c r="L379" s="7" t="s">
        <v>445</v>
      </c>
      <c r="M379" s="7" t="s">
        <v>452</v>
      </c>
      <c r="N379" s="7" t="s">
        <v>453</v>
      </c>
      <c r="O379" s="7"/>
      <c r="P379" s="7"/>
      <c r="Q379" s="7"/>
      <c r="R379" s="7"/>
    </row>
    <row r="380" customFormat="false" ht="15" hidden="false" customHeight="false" outlineLevel="0" collapsed="false">
      <c r="A380" s="7" t="s">
        <v>352</v>
      </c>
      <c r="B380" s="7" t="s">
        <v>64</v>
      </c>
      <c r="C380" s="7" t="n">
        <v>62073.6</v>
      </c>
      <c r="D380" s="7" t="n">
        <v>61806.7</v>
      </c>
      <c r="E380" s="7" t="n">
        <v>0.0043183020611034</v>
      </c>
      <c r="F380" s="7" t="s">
        <v>60</v>
      </c>
      <c r="G380" s="7" t="s">
        <v>459</v>
      </c>
      <c r="H380" s="7" t="s">
        <v>66</v>
      </c>
      <c r="I380" s="32" t="b">
        <f aca="false">FALSE()</f>
        <v>0</v>
      </c>
      <c r="J380" s="32" t="b">
        <f aca="false">TRUE()</f>
        <v>1</v>
      </c>
      <c r="K380" s="32" t="b">
        <f aca="false">FALSE()</f>
        <v>0</v>
      </c>
      <c r="L380" s="7" t="s">
        <v>445</v>
      </c>
      <c r="M380" s="7" t="s">
        <v>446</v>
      </c>
      <c r="N380" s="7" t="s">
        <v>467</v>
      </c>
      <c r="O380" s="7" t="n">
        <v>61935.28</v>
      </c>
      <c r="P380" s="7" t="n">
        <v>61528.57</v>
      </c>
      <c r="Q380" s="7" t="n">
        <v>12.93</v>
      </c>
      <c r="R380" s="7" t="s">
        <v>69</v>
      </c>
    </row>
    <row r="381" customFormat="false" ht="15" hidden="false" customHeight="false" outlineLevel="0" collapsed="false">
      <c r="A381" s="7" t="s">
        <v>353</v>
      </c>
      <c r="B381" s="7" t="s">
        <v>63</v>
      </c>
      <c r="C381" s="7" t="n">
        <v>63022.8</v>
      </c>
      <c r="D381" s="7" t="n">
        <v>62774.5</v>
      </c>
      <c r="E381" s="7" t="n">
        <v>0.0039554277612725</v>
      </c>
      <c r="F381" s="7" t="s">
        <v>60</v>
      </c>
      <c r="G381" s="7" t="s">
        <v>448</v>
      </c>
      <c r="H381" s="7" t="s">
        <v>67</v>
      </c>
      <c r="I381" s="32" t="b">
        <f aca="false">FALSE()</f>
        <v>0</v>
      </c>
      <c r="J381" s="32" t="b">
        <f aca="false">TRUE()</f>
        <v>1</v>
      </c>
      <c r="K381" s="32" t="b">
        <f aca="false">FALSE()</f>
        <v>0</v>
      </c>
      <c r="L381" s="7" t="s">
        <v>445</v>
      </c>
      <c r="M381" s="7" t="s">
        <v>446</v>
      </c>
      <c r="N381" s="7" t="s">
        <v>469</v>
      </c>
      <c r="O381" s="7" t="n">
        <v>62961.01</v>
      </c>
      <c r="P381" s="7" t="n">
        <v>63306.4</v>
      </c>
      <c r="Q381" s="7" t="n">
        <v>7.54</v>
      </c>
      <c r="R381" s="7" t="s">
        <v>69</v>
      </c>
    </row>
    <row r="382" customFormat="false" ht="15" hidden="false" customHeight="false" outlineLevel="0" collapsed="false">
      <c r="A382" s="7" t="s">
        <v>353</v>
      </c>
      <c r="B382" s="7" t="s">
        <v>64</v>
      </c>
      <c r="C382" s="7" t="n">
        <v>62943.2</v>
      </c>
      <c r="D382" s="7" t="n">
        <v>62490.2</v>
      </c>
      <c r="E382" s="7" t="n">
        <v>0.007249136664629</v>
      </c>
      <c r="F382" s="7" t="s">
        <v>450</v>
      </c>
      <c r="G382" s="7" t="s">
        <v>451</v>
      </c>
      <c r="H382" s="7" t="s">
        <v>450</v>
      </c>
      <c r="I382" s="32" t="b">
        <f aca="false">FALSE()</f>
        <v>0</v>
      </c>
      <c r="J382" s="32" t="b">
        <f aca="false">FALSE()</f>
        <v>0</v>
      </c>
      <c r="K382" s="32" t="b">
        <f aca="false">FALSE()</f>
        <v>0</v>
      </c>
      <c r="L382" s="7" t="s">
        <v>445</v>
      </c>
      <c r="M382" s="7" t="s">
        <v>452</v>
      </c>
      <c r="N382" s="7" t="s">
        <v>453</v>
      </c>
      <c r="O382" s="7"/>
      <c r="P382" s="7"/>
      <c r="Q382" s="7"/>
      <c r="R382" s="7"/>
    </row>
    <row r="383" customFormat="false" ht="15" hidden="false" customHeight="false" outlineLevel="0" collapsed="false">
      <c r="A383" s="7" t="s">
        <v>555</v>
      </c>
      <c r="B383" s="7" t="s">
        <v>63</v>
      </c>
      <c r="C383" s="7" t="n">
        <v>63939.6</v>
      </c>
      <c r="D383" s="7" t="n">
        <v>63884.7</v>
      </c>
      <c r="E383" s="7" t="n">
        <v>0.0008593606919966</v>
      </c>
      <c r="F383" s="7" t="s">
        <v>450</v>
      </c>
      <c r="G383" s="7" t="s">
        <v>451</v>
      </c>
      <c r="H383" s="7" t="s">
        <v>450</v>
      </c>
      <c r="I383" s="32" t="b">
        <f aca="false">FALSE()</f>
        <v>0</v>
      </c>
      <c r="J383" s="32" t="b">
        <f aca="false">FALSE()</f>
        <v>0</v>
      </c>
      <c r="K383" s="32" t="b">
        <f aca="false">FALSE()</f>
        <v>0</v>
      </c>
      <c r="L383" s="7" t="s">
        <v>445</v>
      </c>
      <c r="M383" s="7" t="s">
        <v>452</v>
      </c>
      <c r="N383" s="7" t="s">
        <v>453</v>
      </c>
      <c r="O383" s="7"/>
      <c r="P383" s="7"/>
      <c r="Q383" s="7"/>
      <c r="R383" s="7"/>
    </row>
    <row r="384" customFormat="false" ht="15" hidden="false" customHeight="false" outlineLevel="0" collapsed="false">
      <c r="A384" s="7" t="s">
        <v>555</v>
      </c>
      <c r="B384" s="7" t="s">
        <v>64</v>
      </c>
      <c r="C384" s="7" t="n">
        <v>64423.7</v>
      </c>
      <c r="D384" s="7" t="n">
        <v>64128.2</v>
      </c>
      <c r="E384" s="7" t="n">
        <v>0.0046079571857622</v>
      </c>
      <c r="F384" s="7" t="s">
        <v>450</v>
      </c>
      <c r="G384" s="7" t="s">
        <v>451</v>
      </c>
      <c r="H384" s="7" t="s">
        <v>450</v>
      </c>
      <c r="I384" s="32" t="b">
        <f aca="false">FALSE()</f>
        <v>0</v>
      </c>
      <c r="J384" s="32" t="b">
        <f aca="false">FALSE()</f>
        <v>0</v>
      </c>
      <c r="K384" s="32" t="b">
        <f aca="false">FALSE()</f>
        <v>0</v>
      </c>
      <c r="L384" s="7" t="s">
        <v>445</v>
      </c>
      <c r="M384" s="7" t="s">
        <v>452</v>
      </c>
      <c r="N384" s="7" t="s">
        <v>453</v>
      </c>
      <c r="O384" s="7"/>
      <c r="P384" s="7"/>
      <c r="Q384" s="7"/>
      <c r="R384" s="7"/>
    </row>
    <row r="385" customFormat="false" ht="15" hidden="false" customHeight="false" outlineLevel="0" collapsed="false">
      <c r="A385" s="7" t="s">
        <v>354</v>
      </c>
      <c r="B385" s="7" t="s">
        <v>63</v>
      </c>
      <c r="C385" s="7" t="n">
        <v>64209</v>
      </c>
      <c r="D385" s="7" t="n">
        <v>64146.9</v>
      </c>
      <c r="E385" s="7" t="n">
        <v>0.000968090429935</v>
      </c>
      <c r="F385" s="7" t="s">
        <v>59</v>
      </c>
      <c r="G385" s="7" t="s">
        <v>444</v>
      </c>
      <c r="H385" s="7" t="s">
        <v>67</v>
      </c>
      <c r="I385" s="32" t="b">
        <f aca="false">TRUE()</f>
        <v>1</v>
      </c>
      <c r="J385" s="32" t="b">
        <f aca="false">FALSE()</f>
        <v>0</v>
      </c>
      <c r="K385" s="32" t="b">
        <f aca="false">FALSE()</f>
        <v>0</v>
      </c>
      <c r="L385" s="7" t="s">
        <v>445</v>
      </c>
      <c r="M385" s="7" t="s">
        <v>446</v>
      </c>
      <c r="N385" s="7" t="s">
        <v>556</v>
      </c>
      <c r="O385" s="7" t="n">
        <v>64119.77</v>
      </c>
      <c r="P385" s="7" t="n">
        <v>64243.12</v>
      </c>
      <c r="Q385" s="7" t="n">
        <v>-149.43</v>
      </c>
      <c r="R385" s="7" t="s">
        <v>70</v>
      </c>
    </row>
    <row r="386" customFormat="false" ht="15" hidden="false" customHeight="false" outlineLevel="0" collapsed="false">
      <c r="A386" s="7" t="s">
        <v>354</v>
      </c>
      <c r="B386" s="7" t="s">
        <v>64</v>
      </c>
      <c r="C386" s="7" t="n">
        <v>64245.4</v>
      </c>
      <c r="D386" s="7" t="n">
        <v>64166.2</v>
      </c>
      <c r="E386" s="7" t="n">
        <v>0.0012342946909744</v>
      </c>
      <c r="F386" s="7" t="s">
        <v>60</v>
      </c>
      <c r="G386" s="7" t="s">
        <v>448</v>
      </c>
      <c r="H386" s="7" t="s">
        <v>67</v>
      </c>
      <c r="I386" s="32" t="b">
        <f aca="false">FALSE()</f>
        <v>0</v>
      </c>
      <c r="J386" s="32" t="b">
        <f aca="false">TRUE()</f>
        <v>1</v>
      </c>
      <c r="K386" s="32" t="b">
        <f aca="false">FALSE()</f>
        <v>0</v>
      </c>
      <c r="L386" s="7" t="s">
        <v>445</v>
      </c>
      <c r="M386" s="7" t="s">
        <v>446</v>
      </c>
      <c r="N386" s="7" t="s">
        <v>469</v>
      </c>
      <c r="O386" s="7" t="n">
        <v>64201.06</v>
      </c>
      <c r="P386" s="7" t="n">
        <v>64534.5</v>
      </c>
      <c r="Q386" s="7" t="n">
        <v>69.99</v>
      </c>
      <c r="R386" s="7" t="s">
        <v>69</v>
      </c>
    </row>
    <row r="387" customFormat="false" ht="15" hidden="false" customHeight="false" outlineLevel="0" collapsed="false">
      <c r="A387" s="7" t="s">
        <v>355</v>
      </c>
      <c r="B387" s="7" t="s">
        <v>63</v>
      </c>
      <c r="C387" s="7" t="n">
        <v>63866.2</v>
      </c>
      <c r="D387" s="7" t="n">
        <v>63817.5</v>
      </c>
      <c r="E387" s="7" t="n">
        <v>0.000763113566028</v>
      </c>
      <c r="F387" s="7" t="s">
        <v>61</v>
      </c>
      <c r="G387" s="7" t="s">
        <v>455</v>
      </c>
      <c r="H387" s="7" t="s">
        <v>66</v>
      </c>
      <c r="I387" s="32" t="b">
        <f aca="false">TRUE()</f>
        <v>1</v>
      </c>
      <c r="J387" s="32" t="b">
        <f aca="false">FALSE()</f>
        <v>0</v>
      </c>
      <c r="K387" s="32" t="b">
        <f aca="false">FALSE()</f>
        <v>0</v>
      </c>
      <c r="L387" s="7" t="s">
        <v>445</v>
      </c>
      <c r="M387" s="7" t="s">
        <v>446</v>
      </c>
      <c r="N387" s="7" t="s">
        <v>456</v>
      </c>
      <c r="O387" s="7" t="n">
        <v>63997.5</v>
      </c>
      <c r="P387" s="7" t="n">
        <v>63770.4</v>
      </c>
      <c r="Q387" s="7" t="n">
        <v>-138.94</v>
      </c>
      <c r="R387" s="7" t="s">
        <v>70</v>
      </c>
    </row>
    <row r="388" customFormat="false" ht="15" hidden="false" customHeight="false" outlineLevel="0" collapsed="false">
      <c r="A388" s="7" t="s">
        <v>355</v>
      </c>
      <c r="B388" s="7" t="s">
        <v>64</v>
      </c>
      <c r="C388" s="7" t="n">
        <v>64067.2</v>
      </c>
      <c r="D388" s="7" t="n">
        <v>64006.8</v>
      </c>
      <c r="E388" s="7" t="n">
        <v>0.0009436497372153</v>
      </c>
      <c r="F388" s="7" t="s">
        <v>450</v>
      </c>
      <c r="G388" s="7" t="s">
        <v>451</v>
      </c>
      <c r="H388" s="7" t="s">
        <v>450</v>
      </c>
      <c r="I388" s="32" t="b">
        <f aca="false">FALSE()</f>
        <v>0</v>
      </c>
      <c r="J388" s="32" t="b">
        <f aca="false">FALSE()</f>
        <v>0</v>
      </c>
      <c r="K388" s="32" t="b">
        <f aca="false">FALSE()</f>
        <v>0</v>
      </c>
      <c r="L388" s="7" t="s">
        <v>445</v>
      </c>
      <c r="M388" s="7" t="s">
        <v>452</v>
      </c>
      <c r="N388" s="7" t="s">
        <v>453</v>
      </c>
      <c r="O388" s="7"/>
      <c r="P388" s="7"/>
      <c r="Q388" s="7"/>
      <c r="R388" s="7"/>
    </row>
    <row r="389" customFormat="false" ht="15" hidden="false" customHeight="false" outlineLevel="0" collapsed="false">
      <c r="A389" s="7" t="s">
        <v>356</v>
      </c>
      <c r="B389" s="7" t="s">
        <v>63</v>
      </c>
      <c r="C389" s="7" t="n">
        <v>63027.6</v>
      </c>
      <c r="D389" s="7" t="n">
        <v>62880.1</v>
      </c>
      <c r="E389" s="7" t="n">
        <v>0.0023457341829927</v>
      </c>
      <c r="F389" s="7" t="s">
        <v>60</v>
      </c>
      <c r="G389" s="7" t="s">
        <v>448</v>
      </c>
      <c r="H389" s="7" t="s">
        <v>67</v>
      </c>
      <c r="I389" s="32" t="b">
        <f aca="false">FALSE()</f>
        <v>0</v>
      </c>
      <c r="J389" s="32" t="b">
        <f aca="false">TRUE()</f>
        <v>1</v>
      </c>
      <c r="K389" s="32" t="b">
        <f aca="false">FALSE()</f>
        <v>0</v>
      </c>
      <c r="L389" s="7" t="s">
        <v>445</v>
      </c>
      <c r="M389" s="7" t="s">
        <v>446</v>
      </c>
      <c r="N389" s="7" t="s">
        <v>469</v>
      </c>
      <c r="O389" s="7" t="n">
        <v>62940.21</v>
      </c>
      <c r="P389" s="7" t="n">
        <v>63311.22</v>
      </c>
      <c r="Q389" s="7" t="n">
        <v>45.65</v>
      </c>
      <c r="R389" s="7" t="s">
        <v>69</v>
      </c>
    </row>
    <row r="390" customFormat="false" ht="15" hidden="false" customHeight="false" outlineLevel="0" collapsed="false">
      <c r="A390" s="7" t="s">
        <v>356</v>
      </c>
      <c r="B390" s="7" t="s">
        <v>64</v>
      </c>
      <c r="C390" s="7" t="n">
        <v>62752.4</v>
      </c>
      <c r="D390" s="7" t="n">
        <v>62226.4</v>
      </c>
      <c r="E390" s="7" t="n">
        <v>0.0084530038697401</v>
      </c>
      <c r="F390" s="7" t="s">
        <v>60</v>
      </c>
      <c r="G390" s="7" t="s">
        <v>459</v>
      </c>
      <c r="H390" s="7" t="s">
        <v>66</v>
      </c>
      <c r="I390" s="32" t="b">
        <f aca="false">FALSE()</f>
        <v>0</v>
      </c>
      <c r="J390" s="32" t="b">
        <f aca="false">TRUE()</f>
        <v>1</v>
      </c>
      <c r="K390" s="32" t="b">
        <f aca="false">FALSE()</f>
        <v>0</v>
      </c>
      <c r="L390" s="7" t="s">
        <v>445</v>
      </c>
      <c r="M390" s="7" t="s">
        <v>446</v>
      </c>
      <c r="N390" s="7" t="s">
        <v>467</v>
      </c>
      <c r="O390" s="7" t="n">
        <v>62312.56</v>
      </c>
      <c r="P390" s="7" t="n">
        <v>61946.38</v>
      </c>
      <c r="Q390" s="7" t="n">
        <v>33.98</v>
      </c>
      <c r="R390" s="7" t="s">
        <v>69</v>
      </c>
    </row>
    <row r="391" customFormat="false" ht="15" hidden="false" customHeight="false" outlineLevel="0" collapsed="false">
      <c r="A391" s="7" t="s">
        <v>357</v>
      </c>
      <c r="B391" s="7" t="s">
        <v>63</v>
      </c>
      <c r="C391" s="7" t="n">
        <v>62629.5</v>
      </c>
      <c r="D391" s="7" t="n">
        <v>62534.5</v>
      </c>
      <c r="E391" s="7" t="n">
        <v>0.0015191614228945</v>
      </c>
      <c r="F391" s="7" t="s">
        <v>450</v>
      </c>
      <c r="G391" s="7" t="s">
        <v>451</v>
      </c>
      <c r="H391" s="7" t="s">
        <v>450</v>
      </c>
      <c r="I391" s="32" t="b">
        <f aca="false">FALSE()</f>
        <v>0</v>
      </c>
      <c r="J391" s="32" t="b">
        <f aca="false">FALSE()</f>
        <v>0</v>
      </c>
      <c r="K391" s="32" t="b">
        <f aca="false">FALSE()</f>
        <v>0</v>
      </c>
      <c r="L391" s="7" t="s">
        <v>445</v>
      </c>
      <c r="M391" s="7" t="s">
        <v>452</v>
      </c>
      <c r="N391" s="7" t="s">
        <v>453</v>
      </c>
      <c r="O391" s="7"/>
      <c r="P391" s="7"/>
      <c r="Q391" s="7"/>
      <c r="R391" s="7"/>
    </row>
    <row r="392" customFormat="false" ht="15" hidden="false" customHeight="false" outlineLevel="0" collapsed="false">
      <c r="A392" s="7" t="s">
        <v>357</v>
      </c>
      <c r="B392" s="7" t="s">
        <v>64</v>
      </c>
      <c r="C392" s="7" t="n">
        <v>63961.9</v>
      </c>
      <c r="D392" s="7" t="n">
        <v>63687.7</v>
      </c>
      <c r="E392" s="7" t="n">
        <v>0.0043053839281368</v>
      </c>
      <c r="F392" s="7" t="s">
        <v>60</v>
      </c>
      <c r="G392" s="7" t="s">
        <v>459</v>
      </c>
      <c r="H392" s="7" t="s">
        <v>66</v>
      </c>
      <c r="I392" s="32" t="b">
        <f aca="false">FALSE()</f>
        <v>0</v>
      </c>
      <c r="J392" s="32" t="b">
        <f aca="false">TRUE()</f>
        <v>1</v>
      </c>
      <c r="K392" s="32" t="b">
        <f aca="false">FALSE()</f>
        <v>0</v>
      </c>
      <c r="L392" s="7" t="s">
        <v>445</v>
      </c>
      <c r="M392" s="7" t="s">
        <v>446</v>
      </c>
      <c r="N392" s="7" t="s">
        <v>460</v>
      </c>
      <c r="O392" s="7" t="n">
        <v>63815.56</v>
      </c>
      <c r="P392" s="7" t="n">
        <v>63401.11</v>
      </c>
      <c r="Q392" s="7" t="n">
        <v>15.04</v>
      </c>
      <c r="R392" s="7" t="s">
        <v>69</v>
      </c>
    </row>
    <row r="393" customFormat="false" ht="15" hidden="false" customHeight="false" outlineLevel="0" collapsed="false">
      <c r="A393" s="7" t="s">
        <v>358</v>
      </c>
      <c r="B393" s="7" t="s">
        <v>63</v>
      </c>
      <c r="C393" s="7" t="n">
        <v>64621</v>
      </c>
      <c r="D393" s="7" t="n">
        <v>64490</v>
      </c>
      <c r="E393" s="7" t="n">
        <v>0.0020313226856877</v>
      </c>
      <c r="F393" s="7" t="s">
        <v>60</v>
      </c>
      <c r="G393" s="7" t="s">
        <v>448</v>
      </c>
      <c r="H393" s="7" t="s">
        <v>67</v>
      </c>
      <c r="I393" s="32" t="b">
        <f aca="false">FALSE()</f>
        <v>0</v>
      </c>
      <c r="J393" s="32" t="b">
        <f aca="false">TRUE()</f>
        <v>1</v>
      </c>
      <c r="K393" s="32" t="b">
        <f aca="false">FALSE()</f>
        <v>0</v>
      </c>
      <c r="L393" s="7" t="s">
        <v>445</v>
      </c>
      <c r="M393" s="7" t="s">
        <v>446</v>
      </c>
      <c r="N393" s="7" t="s">
        <v>454</v>
      </c>
      <c r="O393" s="7" t="n">
        <v>64547.09</v>
      </c>
      <c r="P393" s="7" t="n">
        <v>64911.79</v>
      </c>
      <c r="Q393" s="7" t="n">
        <v>-120.72</v>
      </c>
      <c r="R393" s="7" t="s">
        <v>70</v>
      </c>
    </row>
    <row r="394" customFormat="false" ht="15" hidden="false" customHeight="false" outlineLevel="0" collapsed="false">
      <c r="A394" s="7" t="s">
        <v>358</v>
      </c>
      <c r="B394" s="7" t="s">
        <v>64</v>
      </c>
      <c r="C394" s="7" t="n">
        <v>65494.4</v>
      </c>
      <c r="D394" s="7" t="n">
        <v>65211.5</v>
      </c>
      <c r="E394" s="7" t="n">
        <v>0.0043381918833334</v>
      </c>
      <c r="F394" s="7" t="s">
        <v>59</v>
      </c>
      <c r="G394" s="7" t="s">
        <v>444</v>
      </c>
      <c r="H394" s="7" t="s">
        <v>67</v>
      </c>
      <c r="I394" s="32" t="b">
        <f aca="false">TRUE()</f>
        <v>1</v>
      </c>
      <c r="J394" s="32" t="b">
        <f aca="false">FALSE()</f>
        <v>0</v>
      </c>
      <c r="K394" s="32" t="b">
        <f aca="false">FALSE()</f>
        <v>0</v>
      </c>
      <c r="L394" s="7" t="s">
        <v>445</v>
      </c>
      <c r="M394" s="7" t="s">
        <v>446</v>
      </c>
      <c r="N394" s="7" t="s">
        <v>557</v>
      </c>
      <c r="O394" s="7" t="n">
        <v>65077.18</v>
      </c>
      <c r="P394" s="7" t="n">
        <v>65309.32</v>
      </c>
      <c r="Q394" s="7" t="n">
        <v>-113.34</v>
      </c>
      <c r="R394" s="7" t="s">
        <v>70</v>
      </c>
    </row>
    <row r="395" customFormat="false" ht="15" hidden="false" customHeight="false" outlineLevel="0" collapsed="false">
      <c r="A395" s="7" t="s">
        <v>359</v>
      </c>
      <c r="B395" s="7" t="s">
        <v>63</v>
      </c>
      <c r="C395" s="7" t="n">
        <v>64476</v>
      </c>
      <c r="D395" s="7" t="n">
        <v>64155.3</v>
      </c>
      <c r="E395" s="7" t="n">
        <v>0.0049988075809792</v>
      </c>
      <c r="F395" s="7" t="s">
        <v>60</v>
      </c>
      <c r="G395" s="7" t="s">
        <v>459</v>
      </c>
      <c r="H395" s="7" t="s">
        <v>66</v>
      </c>
      <c r="I395" s="32" t="b">
        <f aca="false">FALSE()</f>
        <v>0</v>
      </c>
      <c r="J395" s="32" t="b">
        <f aca="false">TRUE()</f>
        <v>1</v>
      </c>
      <c r="K395" s="32" t="b">
        <f aca="false">FALSE()</f>
        <v>0</v>
      </c>
      <c r="L395" s="7" t="s">
        <v>445</v>
      </c>
      <c r="M395" s="7" t="s">
        <v>446</v>
      </c>
      <c r="N395" s="7" t="s">
        <v>467</v>
      </c>
      <c r="O395" s="7" t="n">
        <v>64212.94</v>
      </c>
      <c r="P395" s="7" t="n">
        <v>63866.6</v>
      </c>
      <c r="Q395" s="7" t="n">
        <v>-114.86</v>
      </c>
      <c r="R395" s="7" t="s">
        <v>70</v>
      </c>
    </row>
    <row r="396" customFormat="false" ht="15" hidden="false" customHeight="false" outlineLevel="0" collapsed="false">
      <c r="A396" s="7" t="s">
        <v>359</v>
      </c>
      <c r="B396" s="7" t="s">
        <v>64</v>
      </c>
      <c r="C396" s="7" t="n">
        <v>64458.7</v>
      </c>
      <c r="D396" s="7" t="n">
        <v>64126.8</v>
      </c>
      <c r="E396" s="7" t="n">
        <v>0.005175683177704</v>
      </c>
      <c r="F396" s="7" t="s">
        <v>60</v>
      </c>
      <c r="G396" s="7" t="s">
        <v>459</v>
      </c>
      <c r="H396" s="7" t="s">
        <v>66</v>
      </c>
      <c r="I396" s="32" t="b">
        <f aca="false">FALSE()</f>
        <v>0</v>
      </c>
      <c r="J396" s="32" t="b">
        <f aca="false">TRUE()</f>
        <v>1</v>
      </c>
      <c r="K396" s="32" t="b">
        <f aca="false">FALSE()</f>
        <v>0</v>
      </c>
      <c r="L396" s="7" t="s">
        <v>445</v>
      </c>
      <c r="M396" s="7" t="s">
        <v>446</v>
      </c>
      <c r="N396" s="7" t="s">
        <v>465</v>
      </c>
      <c r="O396" s="7" t="n">
        <v>64367.17</v>
      </c>
      <c r="P396" s="7" t="n">
        <v>63838.23</v>
      </c>
      <c r="Q396" s="7" t="n">
        <v>24.19</v>
      </c>
      <c r="R396" s="7" t="s">
        <v>69</v>
      </c>
    </row>
    <row r="397" customFormat="false" ht="15" hidden="false" customHeight="false" outlineLevel="0" collapsed="false">
      <c r="A397" s="7" t="s">
        <v>558</v>
      </c>
      <c r="B397" s="7" t="s">
        <v>63</v>
      </c>
      <c r="C397" s="7" t="n">
        <v>62947.1</v>
      </c>
      <c r="D397" s="7" t="n">
        <v>62839</v>
      </c>
      <c r="E397" s="7" t="n">
        <v>0.0017202692595362</v>
      </c>
      <c r="F397" s="7" t="s">
        <v>450</v>
      </c>
      <c r="G397" s="7" t="s">
        <v>451</v>
      </c>
      <c r="H397" s="7" t="s">
        <v>450</v>
      </c>
      <c r="I397" s="32" t="b">
        <f aca="false">FALSE()</f>
        <v>0</v>
      </c>
      <c r="J397" s="32" t="b">
        <f aca="false">FALSE()</f>
        <v>0</v>
      </c>
      <c r="K397" s="32" t="b">
        <f aca="false">FALSE()</f>
        <v>0</v>
      </c>
      <c r="L397" s="7" t="s">
        <v>445</v>
      </c>
      <c r="M397" s="7" t="s">
        <v>452</v>
      </c>
      <c r="N397" s="7" t="s">
        <v>453</v>
      </c>
      <c r="O397" s="7"/>
      <c r="P397" s="7"/>
      <c r="Q397" s="7"/>
      <c r="R397" s="7"/>
    </row>
    <row r="398" customFormat="false" ht="15" hidden="false" customHeight="false" outlineLevel="0" collapsed="false">
      <c r="A398" s="7" t="s">
        <v>558</v>
      </c>
      <c r="B398" s="7" t="s">
        <v>64</v>
      </c>
      <c r="C398" s="7" t="n">
        <v>62913.9</v>
      </c>
      <c r="D398" s="7" t="n">
        <v>62505.1</v>
      </c>
      <c r="E398" s="7" t="n">
        <v>0.0065402663142688</v>
      </c>
      <c r="F398" s="7" t="s">
        <v>450</v>
      </c>
      <c r="G398" s="7" t="s">
        <v>451</v>
      </c>
      <c r="H398" s="7" t="s">
        <v>450</v>
      </c>
      <c r="I398" s="32" t="b">
        <f aca="false">FALSE()</f>
        <v>0</v>
      </c>
      <c r="J398" s="32" t="b">
        <f aca="false">FALSE()</f>
        <v>0</v>
      </c>
      <c r="K398" s="32" t="b">
        <f aca="false">FALSE()</f>
        <v>0</v>
      </c>
      <c r="L398" s="7" t="s">
        <v>445</v>
      </c>
      <c r="M398" s="7" t="s">
        <v>452</v>
      </c>
      <c r="N398" s="7" t="s">
        <v>453</v>
      </c>
      <c r="O398" s="7"/>
      <c r="P398" s="7"/>
      <c r="Q398" s="7"/>
      <c r="R398" s="7"/>
    </row>
    <row r="399" customFormat="false" ht="15" hidden="false" customHeight="false" outlineLevel="0" collapsed="false">
      <c r="A399" s="7" t="s">
        <v>360</v>
      </c>
      <c r="B399" s="7" t="s">
        <v>63</v>
      </c>
      <c r="C399" s="7" t="n">
        <v>63995.6</v>
      </c>
      <c r="D399" s="7" t="n">
        <v>63966.2</v>
      </c>
      <c r="E399" s="7" t="n">
        <v>0.0004596177356166</v>
      </c>
      <c r="F399" s="7" t="s">
        <v>60</v>
      </c>
      <c r="G399" s="7" t="s">
        <v>448</v>
      </c>
      <c r="H399" s="7" t="s">
        <v>67</v>
      </c>
      <c r="I399" s="32" t="b">
        <f aca="false">FALSE()</f>
        <v>0</v>
      </c>
      <c r="J399" s="32" t="b">
        <f aca="false">TRUE()</f>
        <v>1</v>
      </c>
      <c r="K399" s="32" t="b">
        <f aca="false">FALSE()</f>
        <v>0</v>
      </c>
      <c r="L399" s="7" t="s">
        <v>445</v>
      </c>
      <c r="M399" s="7" t="s">
        <v>446</v>
      </c>
      <c r="N399" s="7" t="s">
        <v>472</v>
      </c>
      <c r="O399" s="7" t="n">
        <v>63967.2</v>
      </c>
      <c r="P399" s="7" t="n">
        <v>64283.58</v>
      </c>
      <c r="Q399" s="7" t="n">
        <v>-28.21</v>
      </c>
      <c r="R399" s="7" t="s">
        <v>71</v>
      </c>
    </row>
    <row r="400" customFormat="false" ht="15" hidden="false" customHeight="false" outlineLevel="0" collapsed="false">
      <c r="A400" s="7" t="s">
        <v>360</v>
      </c>
      <c r="B400" s="7" t="s">
        <v>64</v>
      </c>
      <c r="C400" s="7" t="n">
        <v>64073.8</v>
      </c>
      <c r="D400" s="7" t="n">
        <v>63993.5</v>
      </c>
      <c r="E400" s="7" t="n">
        <v>0.0012548149421426</v>
      </c>
      <c r="F400" s="7" t="s">
        <v>450</v>
      </c>
      <c r="G400" s="7" t="s">
        <v>451</v>
      </c>
      <c r="H400" s="7" t="s">
        <v>450</v>
      </c>
      <c r="I400" s="32" t="b">
        <f aca="false">FALSE()</f>
        <v>0</v>
      </c>
      <c r="J400" s="32" t="b">
        <f aca="false">FALSE()</f>
        <v>0</v>
      </c>
      <c r="K400" s="32" t="b">
        <f aca="false">FALSE()</f>
        <v>0</v>
      </c>
      <c r="L400" s="7" t="s">
        <v>445</v>
      </c>
      <c r="M400" s="7" t="s">
        <v>452</v>
      </c>
      <c r="N400" s="7" t="s">
        <v>453</v>
      </c>
      <c r="O400" s="7"/>
      <c r="P400" s="7"/>
      <c r="Q400" s="7"/>
      <c r="R400" s="7"/>
    </row>
    <row r="401" customFormat="false" ht="15" hidden="false" customHeight="false" outlineLevel="0" collapsed="false">
      <c r="A401" s="7" t="s">
        <v>361</v>
      </c>
      <c r="B401" s="7" t="s">
        <v>63</v>
      </c>
      <c r="C401" s="7" t="n">
        <v>64759.3</v>
      </c>
      <c r="D401" s="7" t="n">
        <v>64681.4</v>
      </c>
      <c r="E401" s="7" t="n">
        <v>0.0012043647787463</v>
      </c>
      <c r="F401" s="7" t="s">
        <v>450</v>
      </c>
      <c r="G401" s="7" t="s">
        <v>451</v>
      </c>
      <c r="H401" s="7" t="s">
        <v>450</v>
      </c>
      <c r="I401" s="32" t="b">
        <f aca="false">FALSE()</f>
        <v>0</v>
      </c>
      <c r="J401" s="32" t="b">
        <f aca="false">FALSE()</f>
        <v>0</v>
      </c>
      <c r="K401" s="32" t="b">
        <f aca="false">FALSE()</f>
        <v>0</v>
      </c>
      <c r="L401" s="7" t="s">
        <v>445</v>
      </c>
      <c r="M401" s="7" t="s">
        <v>452</v>
      </c>
      <c r="N401" s="7" t="s">
        <v>453</v>
      </c>
      <c r="O401" s="7"/>
      <c r="P401" s="7"/>
      <c r="Q401" s="7"/>
      <c r="R401" s="7"/>
    </row>
    <row r="402" customFormat="false" ht="15" hidden="false" customHeight="false" outlineLevel="0" collapsed="false">
      <c r="A402" s="7" t="s">
        <v>361</v>
      </c>
      <c r="B402" s="7" t="s">
        <v>64</v>
      </c>
      <c r="C402" s="7" t="n">
        <v>64455.7</v>
      </c>
      <c r="D402" s="7" t="n">
        <v>64379.7</v>
      </c>
      <c r="E402" s="7" t="n">
        <v>0.0011804963365781</v>
      </c>
      <c r="F402" s="7" t="s">
        <v>61</v>
      </c>
      <c r="G402" s="7" t="s">
        <v>455</v>
      </c>
      <c r="H402" s="7" t="s">
        <v>66</v>
      </c>
      <c r="I402" s="32" t="b">
        <f aca="false">TRUE()</f>
        <v>1</v>
      </c>
      <c r="J402" s="32" t="b">
        <f aca="false">FALSE()</f>
        <v>0</v>
      </c>
      <c r="K402" s="32" t="b">
        <f aca="false">FALSE()</f>
        <v>0</v>
      </c>
      <c r="L402" s="7" t="s">
        <v>445</v>
      </c>
      <c r="M402" s="7" t="s">
        <v>446</v>
      </c>
      <c r="N402" s="7" t="s">
        <v>456</v>
      </c>
      <c r="O402" s="7" t="n">
        <v>64512.9</v>
      </c>
      <c r="P402" s="7" t="n">
        <v>64359.02</v>
      </c>
      <c r="Q402" s="7" t="n">
        <v>-5.8</v>
      </c>
      <c r="R402" s="7" t="s">
        <v>69</v>
      </c>
    </row>
    <row r="403" customFormat="false" ht="15" hidden="false" customHeight="false" outlineLevel="0" collapsed="false">
      <c r="A403" s="7" t="s">
        <v>362</v>
      </c>
      <c r="B403" s="7" t="s">
        <v>63</v>
      </c>
      <c r="C403" s="7" t="n">
        <v>64188</v>
      </c>
      <c r="D403" s="7" t="n">
        <v>64062.4</v>
      </c>
      <c r="E403" s="7" t="n">
        <v>0.0019605884262843</v>
      </c>
      <c r="F403" s="7" t="s">
        <v>59</v>
      </c>
      <c r="G403" s="7" t="s">
        <v>444</v>
      </c>
      <c r="H403" s="7" t="s">
        <v>66</v>
      </c>
      <c r="I403" s="32" t="b">
        <f aca="false">TRUE()</f>
        <v>1</v>
      </c>
      <c r="J403" s="32" t="b">
        <f aca="false">FALSE()</f>
        <v>0</v>
      </c>
      <c r="K403" s="32" t="b">
        <f aca="false">FALSE()</f>
        <v>0</v>
      </c>
      <c r="L403" s="7" t="s">
        <v>445</v>
      </c>
      <c r="M403" s="7" t="s">
        <v>446</v>
      </c>
      <c r="N403" s="7" t="s">
        <v>517</v>
      </c>
      <c r="O403" s="7" t="n">
        <v>64262.85</v>
      </c>
      <c r="P403" s="7" t="n">
        <v>64091.72</v>
      </c>
      <c r="Q403" s="7" t="n">
        <v>-137.38</v>
      </c>
      <c r="R403" s="7" t="s">
        <v>70</v>
      </c>
    </row>
    <row r="404" customFormat="false" ht="15" hidden="false" customHeight="false" outlineLevel="0" collapsed="false">
      <c r="A404" s="7" t="s">
        <v>362</v>
      </c>
      <c r="B404" s="7" t="s">
        <v>64</v>
      </c>
      <c r="C404" s="7" t="n">
        <v>64737.5</v>
      </c>
      <c r="D404" s="7" t="n">
        <v>64471</v>
      </c>
      <c r="E404" s="7" t="n">
        <v>0.0041336414822168</v>
      </c>
      <c r="F404" s="7" t="s">
        <v>450</v>
      </c>
      <c r="G404" s="7" t="s">
        <v>451</v>
      </c>
      <c r="H404" s="7" t="s">
        <v>450</v>
      </c>
      <c r="I404" s="32" t="b">
        <f aca="false">FALSE()</f>
        <v>0</v>
      </c>
      <c r="J404" s="32" t="b">
        <f aca="false">FALSE()</f>
        <v>0</v>
      </c>
      <c r="K404" s="32" t="b">
        <f aca="false">FALSE()</f>
        <v>0</v>
      </c>
      <c r="L404" s="7" t="s">
        <v>445</v>
      </c>
      <c r="M404" s="7" t="s">
        <v>452</v>
      </c>
      <c r="N404" s="7" t="s">
        <v>453</v>
      </c>
      <c r="O404" s="7"/>
      <c r="P404" s="7"/>
      <c r="Q404" s="7"/>
      <c r="R404" s="7"/>
    </row>
    <row r="405" customFormat="false" ht="15" hidden="false" customHeight="false" outlineLevel="0" collapsed="false">
      <c r="A405" s="7" t="s">
        <v>559</v>
      </c>
      <c r="B405" s="7" t="s">
        <v>63</v>
      </c>
      <c r="C405" s="7" t="n">
        <v>66125.1</v>
      </c>
      <c r="D405" s="7" t="n">
        <v>65915.8</v>
      </c>
      <c r="E405" s="7" t="n">
        <v>0.0031752629870228</v>
      </c>
      <c r="F405" s="7" t="s">
        <v>450</v>
      </c>
      <c r="G405" s="7" t="s">
        <v>451</v>
      </c>
      <c r="H405" s="7" t="s">
        <v>450</v>
      </c>
      <c r="I405" s="32" t="b">
        <f aca="false">FALSE()</f>
        <v>0</v>
      </c>
      <c r="J405" s="32" t="b">
        <f aca="false">FALSE()</f>
        <v>0</v>
      </c>
      <c r="K405" s="32" t="b">
        <f aca="false">FALSE()</f>
        <v>0</v>
      </c>
      <c r="L405" s="7" t="s">
        <v>445</v>
      </c>
      <c r="M405" s="7" t="s">
        <v>452</v>
      </c>
      <c r="N405" s="7" t="s">
        <v>453</v>
      </c>
      <c r="O405" s="7"/>
      <c r="P405" s="7"/>
      <c r="Q405" s="7"/>
      <c r="R405" s="7"/>
    </row>
    <row r="406" customFormat="false" ht="15" hidden="false" customHeight="false" outlineLevel="0" collapsed="false">
      <c r="A406" s="7" t="s">
        <v>559</v>
      </c>
      <c r="B406" s="7" t="s">
        <v>64</v>
      </c>
      <c r="C406" s="7" t="n">
        <v>66529.2</v>
      </c>
      <c r="D406" s="7" t="n">
        <v>66290.4</v>
      </c>
      <c r="E406" s="7" t="n">
        <v>0.0036023315593208</v>
      </c>
      <c r="F406" s="7" t="s">
        <v>450</v>
      </c>
      <c r="G406" s="7" t="s">
        <v>451</v>
      </c>
      <c r="H406" s="7" t="s">
        <v>450</v>
      </c>
      <c r="I406" s="32" t="b">
        <f aca="false">FALSE()</f>
        <v>0</v>
      </c>
      <c r="J406" s="32" t="b">
        <f aca="false">FALSE()</f>
        <v>0</v>
      </c>
      <c r="K406" s="32" t="b">
        <f aca="false">FALSE()</f>
        <v>0</v>
      </c>
      <c r="L406" s="7" t="s">
        <v>445</v>
      </c>
      <c r="M406" s="7" t="s">
        <v>452</v>
      </c>
      <c r="N406" s="7" t="s">
        <v>453</v>
      </c>
      <c r="O406" s="7"/>
      <c r="P406" s="7"/>
      <c r="Q406" s="7"/>
      <c r="R406" s="7"/>
    </row>
    <row r="407" customFormat="false" ht="15" hidden="false" customHeight="false" outlineLevel="0" collapsed="false">
      <c r="A407" s="7" t="s">
        <v>560</v>
      </c>
      <c r="B407" s="7" t="s">
        <v>63</v>
      </c>
      <c r="C407" s="7" t="n">
        <v>65890</v>
      </c>
      <c r="D407" s="7" t="n">
        <v>65668.6</v>
      </c>
      <c r="E407" s="7" t="n">
        <v>0.0033714743423796</v>
      </c>
      <c r="F407" s="7" t="s">
        <v>450</v>
      </c>
      <c r="G407" s="7" t="s">
        <v>451</v>
      </c>
      <c r="H407" s="7" t="s">
        <v>450</v>
      </c>
      <c r="I407" s="32" t="b">
        <f aca="false">FALSE()</f>
        <v>0</v>
      </c>
      <c r="J407" s="32" t="b">
        <f aca="false">FALSE()</f>
        <v>0</v>
      </c>
      <c r="K407" s="32" t="b">
        <f aca="false">FALSE()</f>
        <v>0</v>
      </c>
      <c r="L407" s="7" t="s">
        <v>445</v>
      </c>
      <c r="M407" s="7" t="s">
        <v>452</v>
      </c>
      <c r="N407" s="7" t="s">
        <v>453</v>
      </c>
      <c r="O407" s="7"/>
      <c r="P407" s="7"/>
      <c r="Q407" s="7"/>
      <c r="R407" s="7"/>
    </row>
    <row r="408" customFormat="false" ht="15" hidden="false" customHeight="false" outlineLevel="0" collapsed="false">
      <c r="A408" s="7" t="s">
        <v>560</v>
      </c>
      <c r="B408" s="7" t="s">
        <v>64</v>
      </c>
      <c r="C408" s="7" t="n">
        <v>65894.7</v>
      </c>
      <c r="D408" s="7" t="n">
        <v>65571.4</v>
      </c>
      <c r="E408" s="7" t="n">
        <v>0.004930503237692</v>
      </c>
      <c r="F408" s="7" t="s">
        <v>450</v>
      </c>
      <c r="G408" s="7" t="s">
        <v>451</v>
      </c>
      <c r="H408" s="7" t="s">
        <v>450</v>
      </c>
      <c r="I408" s="32" t="b">
        <f aca="false">FALSE()</f>
        <v>0</v>
      </c>
      <c r="J408" s="32" t="b">
        <f aca="false">FALSE()</f>
        <v>0</v>
      </c>
      <c r="K408" s="32" t="b">
        <f aca="false">FALSE()</f>
        <v>0</v>
      </c>
      <c r="L408" s="7" t="s">
        <v>445</v>
      </c>
      <c r="M408" s="7" t="s">
        <v>452</v>
      </c>
      <c r="N408" s="7" t="s">
        <v>453</v>
      </c>
      <c r="O408" s="7"/>
      <c r="P408" s="7"/>
      <c r="Q408" s="7"/>
      <c r="R408" s="7"/>
    </row>
    <row r="409" customFormat="false" ht="15" hidden="false" customHeight="false" outlineLevel="0" collapsed="false">
      <c r="A409" s="7" t="s">
        <v>363</v>
      </c>
      <c r="B409" s="7" t="s">
        <v>63</v>
      </c>
      <c r="C409" s="7" t="n">
        <v>65431.6</v>
      </c>
      <c r="D409" s="7" t="n">
        <v>65350</v>
      </c>
      <c r="E409" s="7" t="n">
        <v>0.001248661055853</v>
      </c>
      <c r="F409" s="7" t="s">
        <v>60</v>
      </c>
      <c r="G409" s="7" t="s">
        <v>459</v>
      </c>
      <c r="H409" s="7" t="s">
        <v>66</v>
      </c>
      <c r="I409" s="32" t="b">
        <f aca="false">FALSE()</f>
        <v>0</v>
      </c>
      <c r="J409" s="32" t="b">
        <f aca="false">TRUE()</f>
        <v>1</v>
      </c>
      <c r="K409" s="32" t="b">
        <f aca="false">FALSE()</f>
        <v>0</v>
      </c>
      <c r="L409" s="7" t="s">
        <v>445</v>
      </c>
      <c r="M409" s="7" t="s">
        <v>446</v>
      </c>
      <c r="N409" s="7" t="s">
        <v>465</v>
      </c>
      <c r="O409" s="7" t="n">
        <v>65418.38</v>
      </c>
      <c r="P409" s="7" t="n">
        <v>65055.93</v>
      </c>
      <c r="Q409" s="7" t="n">
        <v>31.12</v>
      </c>
      <c r="R409" s="7" t="s">
        <v>69</v>
      </c>
    </row>
    <row r="410" customFormat="false" ht="15" hidden="false" customHeight="false" outlineLevel="0" collapsed="false">
      <c r="A410" s="7" t="s">
        <v>363</v>
      </c>
      <c r="B410" s="7" t="s">
        <v>64</v>
      </c>
      <c r="C410" s="7" t="n">
        <v>65174.6</v>
      </c>
      <c r="D410" s="7" t="n">
        <v>64938</v>
      </c>
      <c r="E410" s="7" t="n">
        <v>0.0036434753149157</v>
      </c>
      <c r="F410" s="7" t="s">
        <v>450</v>
      </c>
      <c r="G410" s="7" t="s">
        <v>451</v>
      </c>
      <c r="H410" s="7" t="s">
        <v>450</v>
      </c>
      <c r="I410" s="32" t="b">
        <f aca="false">FALSE()</f>
        <v>0</v>
      </c>
      <c r="J410" s="32" t="b">
        <f aca="false">FALSE()</f>
        <v>0</v>
      </c>
      <c r="K410" s="32" t="b">
        <f aca="false">FALSE()</f>
        <v>0</v>
      </c>
      <c r="L410" s="7" t="s">
        <v>445</v>
      </c>
      <c r="M410" s="7" t="s">
        <v>452</v>
      </c>
      <c r="N410" s="7" t="s">
        <v>453</v>
      </c>
      <c r="O410" s="7"/>
      <c r="P410" s="7"/>
      <c r="Q410" s="7"/>
      <c r="R410" s="7"/>
    </row>
    <row r="411" customFormat="false" ht="15" hidden="false" customHeight="false" outlineLevel="0" collapsed="false">
      <c r="A411" s="7" t="s">
        <v>561</v>
      </c>
      <c r="B411" s="7" t="s">
        <v>63</v>
      </c>
      <c r="C411" s="7" t="n">
        <v>65672</v>
      </c>
      <c r="D411" s="7" t="n">
        <v>65338</v>
      </c>
      <c r="E411" s="7" t="n">
        <v>0.0051118797636903</v>
      </c>
      <c r="F411" s="7" t="s">
        <v>450</v>
      </c>
      <c r="G411" s="7" t="s">
        <v>451</v>
      </c>
      <c r="H411" s="7" t="s">
        <v>450</v>
      </c>
      <c r="I411" s="32" t="b">
        <f aca="false">FALSE()</f>
        <v>0</v>
      </c>
      <c r="J411" s="32" t="b">
        <f aca="false">FALSE()</f>
        <v>0</v>
      </c>
      <c r="K411" s="32" t="b">
        <f aca="false">FALSE()</f>
        <v>0</v>
      </c>
      <c r="L411" s="7" t="s">
        <v>445</v>
      </c>
      <c r="M411" s="7" t="s">
        <v>452</v>
      </c>
      <c r="N411" s="7" t="s">
        <v>453</v>
      </c>
      <c r="O411" s="7"/>
      <c r="P411" s="7"/>
      <c r="Q411" s="7"/>
      <c r="R411" s="7"/>
    </row>
    <row r="412" customFormat="false" ht="15" hidden="false" customHeight="false" outlineLevel="0" collapsed="false">
      <c r="A412" s="7" t="s">
        <v>561</v>
      </c>
      <c r="B412" s="7" t="s">
        <v>64</v>
      </c>
      <c r="C412" s="7" t="n">
        <v>64394</v>
      </c>
      <c r="D412" s="7" t="n">
        <v>64180.5</v>
      </c>
      <c r="E412" s="7" t="n">
        <v>0.0033265555737334</v>
      </c>
      <c r="F412" s="7" t="s">
        <v>450</v>
      </c>
      <c r="G412" s="7" t="s">
        <v>451</v>
      </c>
      <c r="H412" s="7" t="s">
        <v>450</v>
      </c>
      <c r="I412" s="32" t="b">
        <f aca="false">FALSE()</f>
        <v>0</v>
      </c>
      <c r="J412" s="32" t="b">
        <f aca="false">FALSE()</f>
        <v>0</v>
      </c>
      <c r="K412" s="32" t="b">
        <f aca="false">FALSE()</f>
        <v>0</v>
      </c>
      <c r="L412" s="7" t="s">
        <v>445</v>
      </c>
      <c r="M412" s="7" t="s">
        <v>452</v>
      </c>
      <c r="N412" s="7" t="s">
        <v>453</v>
      </c>
      <c r="O412" s="7"/>
      <c r="P412" s="7"/>
      <c r="Q412" s="7"/>
      <c r="R412" s="7"/>
    </row>
    <row r="413" customFormat="false" ht="15" hidden="false" customHeight="false" outlineLevel="0" collapsed="false">
      <c r="A413" s="7" t="s">
        <v>364</v>
      </c>
      <c r="B413" s="7" t="s">
        <v>63</v>
      </c>
      <c r="C413" s="7" t="n">
        <v>64005.5</v>
      </c>
      <c r="D413" s="7" t="n">
        <v>63968.4</v>
      </c>
      <c r="E413" s="7" t="n">
        <v>0.0005799738620943</v>
      </c>
      <c r="F413" s="7" t="s">
        <v>60</v>
      </c>
      <c r="G413" s="7" t="s">
        <v>448</v>
      </c>
      <c r="H413" s="7" t="s">
        <v>67</v>
      </c>
      <c r="I413" s="32" t="b">
        <f aca="false">FALSE()</f>
        <v>0</v>
      </c>
      <c r="J413" s="32" t="b">
        <f aca="false">TRUE()</f>
        <v>1</v>
      </c>
      <c r="K413" s="32" t="b">
        <f aca="false">FALSE()</f>
        <v>0</v>
      </c>
      <c r="L413" s="7" t="s">
        <v>445</v>
      </c>
      <c r="M413" s="7" t="s">
        <v>446</v>
      </c>
      <c r="N413" s="7" t="s">
        <v>472</v>
      </c>
      <c r="O413" s="7" t="n">
        <v>63960.21</v>
      </c>
      <c r="P413" s="7" t="n">
        <v>64293.52</v>
      </c>
      <c r="Q413" s="7" t="n">
        <v>11.69</v>
      </c>
      <c r="R413" s="7" t="s">
        <v>69</v>
      </c>
    </row>
    <row r="414" customFormat="false" ht="15" hidden="false" customHeight="false" outlineLevel="0" collapsed="false">
      <c r="A414" s="7" t="s">
        <v>364</v>
      </c>
      <c r="B414" s="7" t="s">
        <v>64</v>
      </c>
      <c r="C414" s="7" t="n">
        <v>64168.8</v>
      </c>
      <c r="D414" s="7" t="n">
        <v>64086.1</v>
      </c>
      <c r="E414" s="7" t="n">
        <v>0.0012904514395478</v>
      </c>
      <c r="F414" s="7" t="s">
        <v>60</v>
      </c>
      <c r="G414" s="7" t="s">
        <v>448</v>
      </c>
      <c r="H414" s="7" t="s">
        <v>67</v>
      </c>
      <c r="I414" s="32" t="b">
        <f aca="false">FALSE()</f>
        <v>0</v>
      </c>
      <c r="J414" s="32" t="b">
        <f aca="false">TRUE()</f>
        <v>1</v>
      </c>
      <c r="K414" s="32" t="b">
        <f aca="false">FALSE()</f>
        <v>0</v>
      </c>
      <c r="L414" s="7" t="s">
        <v>445</v>
      </c>
      <c r="M414" s="7" t="s">
        <v>446</v>
      </c>
      <c r="N414" s="7" t="s">
        <v>469</v>
      </c>
      <c r="O414" s="7" t="n">
        <v>64123.97</v>
      </c>
      <c r="P414" s="7" t="n">
        <v>64457.56</v>
      </c>
      <c r="Q414" s="7" t="n">
        <v>-89.52</v>
      </c>
      <c r="R414" s="7" t="s">
        <v>71</v>
      </c>
    </row>
    <row r="415" customFormat="false" ht="15" hidden="false" customHeight="false" outlineLevel="0" collapsed="false">
      <c r="A415" s="7" t="s">
        <v>365</v>
      </c>
      <c r="B415" s="7" t="s">
        <v>63</v>
      </c>
      <c r="C415" s="7" t="n">
        <v>64350</v>
      </c>
      <c r="D415" s="7" t="n">
        <v>64313.5</v>
      </c>
      <c r="E415" s="7" t="n">
        <v>0.0005675324776291</v>
      </c>
      <c r="F415" s="7" t="s">
        <v>450</v>
      </c>
      <c r="G415" s="7" t="s">
        <v>451</v>
      </c>
      <c r="H415" s="7" t="s">
        <v>450</v>
      </c>
      <c r="I415" s="32" t="b">
        <f aca="false">FALSE()</f>
        <v>0</v>
      </c>
      <c r="J415" s="32" t="b">
        <f aca="false">FALSE()</f>
        <v>0</v>
      </c>
      <c r="K415" s="32" t="b">
        <f aca="false">FALSE()</f>
        <v>0</v>
      </c>
      <c r="L415" s="7" t="s">
        <v>445</v>
      </c>
      <c r="M415" s="7" t="s">
        <v>452</v>
      </c>
      <c r="N415" s="7" t="s">
        <v>453</v>
      </c>
      <c r="O415" s="7"/>
      <c r="P415" s="7"/>
      <c r="Q415" s="7"/>
      <c r="R415" s="7"/>
    </row>
    <row r="416" customFormat="false" ht="15" hidden="false" customHeight="false" outlineLevel="0" collapsed="false">
      <c r="A416" s="7" t="s">
        <v>365</v>
      </c>
      <c r="B416" s="7" t="s">
        <v>64</v>
      </c>
      <c r="C416" s="7" t="n">
        <v>64534.4</v>
      </c>
      <c r="D416" s="7" t="n">
        <v>64430.3</v>
      </c>
      <c r="E416" s="7" t="n">
        <v>0.0016156994457576</v>
      </c>
      <c r="F416" s="7" t="s">
        <v>60</v>
      </c>
      <c r="G416" s="7" t="s">
        <v>448</v>
      </c>
      <c r="H416" s="7" t="s">
        <v>67</v>
      </c>
      <c r="I416" s="32" t="b">
        <f aca="false">FALSE()</f>
        <v>0</v>
      </c>
      <c r="J416" s="32" t="b">
        <f aca="false">TRUE()</f>
        <v>1</v>
      </c>
      <c r="K416" s="32" t="b">
        <f aca="false">FALSE()</f>
        <v>0</v>
      </c>
      <c r="L416" s="7" t="s">
        <v>445</v>
      </c>
      <c r="M416" s="7" t="s">
        <v>446</v>
      </c>
      <c r="N416" s="7" t="s">
        <v>472</v>
      </c>
      <c r="O416" s="7" t="n">
        <v>64479</v>
      </c>
      <c r="P416" s="7" t="n">
        <v>64824.8</v>
      </c>
      <c r="Q416" s="7" t="n">
        <v>-115.33</v>
      </c>
      <c r="R416" s="7" t="s">
        <v>70</v>
      </c>
    </row>
    <row r="417" customFormat="false" ht="15" hidden="false" customHeight="false" outlineLevel="0" collapsed="false">
      <c r="A417" s="7" t="s">
        <v>366</v>
      </c>
      <c r="B417" s="7" t="s">
        <v>63</v>
      </c>
      <c r="C417" s="7" t="n">
        <v>65380.9</v>
      </c>
      <c r="D417" s="7" t="n">
        <v>65190</v>
      </c>
      <c r="E417" s="7" t="n">
        <v>0.0029283632458966</v>
      </c>
      <c r="F417" s="7" t="s">
        <v>450</v>
      </c>
      <c r="G417" s="7" t="s">
        <v>451</v>
      </c>
      <c r="H417" s="7" t="s">
        <v>450</v>
      </c>
      <c r="I417" s="32" t="b">
        <f aca="false">FALSE()</f>
        <v>0</v>
      </c>
      <c r="J417" s="32" t="b">
        <f aca="false">FALSE()</f>
        <v>0</v>
      </c>
      <c r="K417" s="32" t="b">
        <f aca="false">FALSE()</f>
        <v>0</v>
      </c>
      <c r="L417" s="7" t="s">
        <v>445</v>
      </c>
      <c r="M417" s="7" t="s">
        <v>452</v>
      </c>
      <c r="N417" s="7" t="s">
        <v>453</v>
      </c>
      <c r="O417" s="7"/>
      <c r="P417" s="7"/>
      <c r="Q417" s="7"/>
      <c r="R417" s="7"/>
    </row>
    <row r="418" customFormat="false" ht="15" hidden="false" customHeight="false" outlineLevel="0" collapsed="false">
      <c r="A418" s="7" t="s">
        <v>366</v>
      </c>
      <c r="B418" s="7" t="s">
        <v>64</v>
      </c>
      <c r="C418" s="7" t="n">
        <v>65666.6</v>
      </c>
      <c r="D418" s="7" t="n">
        <v>64919.5</v>
      </c>
      <c r="E418" s="7" t="n">
        <v>0.0115080984912084</v>
      </c>
      <c r="F418" s="7" t="s">
        <v>60</v>
      </c>
      <c r="G418" s="7" t="s">
        <v>448</v>
      </c>
      <c r="H418" s="7" t="s">
        <v>67</v>
      </c>
      <c r="I418" s="32" t="b">
        <f aca="false">FALSE()</f>
        <v>0</v>
      </c>
      <c r="J418" s="32" t="b">
        <f aca="false">TRUE()</f>
        <v>1</v>
      </c>
      <c r="K418" s="32" t="b">
        <f aca="false">FALSE()</f>
        <v>0</v>
      </c>
      <c r="L418" s="7" t="s">
        <v>445</v>
      </c>
      <c r="M418" s="7" t="s">
        <v>446</v>
      </c>
      <c r="N418" s="7" t="s">
        <v>472</v>
      </c>
      <c r="O418" s="7" t="n">
        <v>65176.36</v>
      </c>
      <c r="P418" s="7" t="n">
        <v>65962.1</v>
      </c>
      <c r="Q418" s="7" t="n">
        <v>41.41</v>
      </c>
      <c r="R418" s="7" t="s">
        <v>69</v>
      </c>
    </row>
    <row r="419" customFormat="false" ht="15" hidden="false" customHeight="false" outlineLevel="0" collapsed="false">
      <c r="A419" s="7" t="s">
        <v>367</v>
      </c>
      <c r="B419" s="7" t="s">
        <v>63</v>
      </c>
      <c r="C419" s="7" t="n">
        <v>63548.4</v>
      </c>
      <c r="D419" s="7" t="n">
        <v>63448.4</v>
      </c>
      <c r="E419" s="7" t="n">
        <v>0.0015760838728793</v>
      </c>
      <c r="F419" s="7" t="s">
        <v>60</v>
      </c>
      <c r="G419" s="7" t="s">
        <v>459</v>
      </c>
      <c r="H419" s="7" t="s">
        <v>66</v>
      </c>
      <c r="I419" s="32" t="b">
        <f aca="false">FALSE()</f>
        <v>0</v>
      </c>
      <c r="J419" s="32" t="b">
        <f aca="false">TRUE()</f>
        <v>1</v>
      </c>
      <c r="K419" s="32" t="b">
        <f aca="false">FALSE()</f>
        <v>0</v>
      </c>
      <c r="L419" s="7" t="s">
        <v>445</v>
      </c>
      <c r="M419" s="7" t="s">
        <v>446</v>
      </c>
      <c r="N419" s="7" t="s">
        <v>465</v>
      </c>
      <c r="O419" s="7" t="n">
        <v>63489.5</v>
      </c>
      <c r="P419" s="7" t="n">
        <v>63162.88</v>
      </c>
      <c r="Q419" s="7" t="n">
        <v>-26.82</v>
      </c>
      <c r="R419" s="7" t="s">
        <v>71</v>
      </c>
    </row>
    <row r="420" customFormat="false" ht="15" hidden="false" customHeight="false" outlineLevel="0" collapsed="false">
      <c r="A420" s="7" t="s">
        <v>367</v>
      </c>
      <c r="B420" s="7" t="s">
        <v>64</v>
      </c>
      <c r="C420" s="7" t="n">
        <v>63366.4</v>
      </c>
      <c r="D420" s="7" t="n">
        <v>62815</v>
      </c>
      <c r="E420" s="7" t="n">
        <v>0.0087781580832603</v>
      </c>
      <c r="F420" s="7" t="s">
        <v>60</v>
      </c>
      <c r="G420" s="7" t="s">
        <v>459</v>
      </c>
      <c r="H420" s="7" t="s">
        <v>66</v>
      </c>
      <c r="I420" s="32" t="b">
        <f aca="false">FALSE()</f>
        <v>0</v>
      </c>
      <c r="J420" s="32" t="b">
        <f aca="false">TRUE()</f>
        <v>1</v>
      </c>
      <c r="K420" s="32" t="b">
        <f aca="false">FALSE()</f>
        <v>0</v>
      </c>
      <c r="L420" s="7" t="s">
        <v>445</v>
      </c>
      <c r="M420" s="7" t="s">
        <v>446</v>
      </c>
      <c r="N420" s="7" t="s">
        <v>460</v>
      </c>
      <c r="O420" s="7" t="n">
        <v>63091.52</v>
      </c>
      <c r="P420" s="7" t="n">
        <v>62532.33</v>
      </c>
      <c r="Q420" s="7" t="n">
        <v>34.66</v>
      </c>
      <c r="R420" s="7" t="s">
        <v>69</v>
      </c>
    </row>
    <row r="421" customFormat="false" ht="15" hidden="false" customHeight="false" outlineLevel="0" collapsed="false">
      <c r="A421" s="7" t="s">
        <v>562</v>
      </c>
      <c r="B421" s="7" t="s">
        <v>63</v>
      </c>
      <c r="C421" s="7" t="n">
        <v>64490</v>
      </c>
      <c r="D421" s="7" t="n">
        <v>64411.9</v>
      </c>
      <c r="E421" s="7" t="n">
        <v>0.0012125088687028</v>
      </c>
      <c r="F421" s="7" t="s">
        <v>450</v>
      </c>
      <c r="G421" s="7" t="s">
        <v>451</v>
      </c>
      <c r="H421" s="7" t="s">
        <v>450</v>
      </c>
      <c r="I421" s="32" t="b">
        <f aca="false">FALSE()</f>
        <v>0</v>
      </c>
      <c r="J421" s="32" t="b">
        <f aca="false">FALSE()</f>
        <v>0</v>
      </c>
      <c r="K421" s="32" t="b">
        <f aca="false">FALSE()</f>
        <v>0</v>
      </c>
      <c r="L421" s="7" t="s">
        <v>445</v>
      </c>
      <c r="M421" s="7" t="s">
        <v>452</v>
      </c>
      <c r="N421" s="7" t="s">
        <v>453</v>
      </c>
      <c r="O421" s="7"/>
      <c r="P421" s="7"/>
      <c r="Q421" s="7"/>
      <c r="R421" s="7"/>
    </row>
    <row r="422" customFormat="false" ht="15" hidden="false" customHeight="false" outlineLevel="0" collapsed="false">
      <c r="A422" s="7" t="s">
        <v>562</v>
      </c>
      <c r="B422" s="7" t="s">
        <v>64</v>
      </c>
      <c r="C422" s="7" t="n">
        <v>64467.8</v>
      </c>
      <c r="D422" s="7" t="n">
        <v>64114.7</v>
      </c>
      <c r="E422" s="7" t="n">
        <v>0.0055073173546785</v>
      </c>
      <c r="F422" s="7" t="s">
        <v>450</v>
      </c>
      <c r="G422" s="7" t="s">
        <v>451</v>
      </c>
      <c r="H422" s="7" t="s">
        <v>450</v>
      </c>
      <c r="I422" s="32" t="b">
        <f aca="false">FALSE()</f>
        <v>0</v>
      </c>
      <c r="J422" s="32" t="b">
        <f aca="false">FALSE()</f>
        <v>0</v>
      </c>
      <c r="K422" s="32" t="b">
        <f aca="false">FALSE()</f>
        <v>0</v>
      </c>
      <c r="L422" s="7" t="s">
        <v>445</v>
      </c>
      <c r="M422" s="7" t="s">
        <v>452</v>
      </c>
      <c r="N422" s="7" t="s">
        <v>453</v>
      </c>
      <c r="O422" s="7"/>
      <c r="P422" s="7"/>
      <c r="Q422" s="7"/>
      <c r="R422" s="7"/>
    </row>
    <row r="423" customFormat="false" ht="15" hidden="false" customHeight="false" outlineLevel="0" collapsed="false">
      <c r="A423" s="7" t="s">
        <v>368</v>
      </c>
      <c r="B423" s="7" t="s">
        <v>63</v>
      </c>
      <c r="C423" s="7" t="n">
        <v>64042.7</v>
      </c>
      <c r="D423" s="7" t="n">
        <v>63913.6</v>
      </c>
      <c r="E423" s="7" t="n">
        <v>0.0020199143844189</v>
      </c>
      <c r="F423" s="7" t="s">
        <v>60</v>
      </c>
      <c r="G423" s="7" t="s">
        <v>448</v>
      </c>
      <c r="H423" s="7" t="s">
        <v>67</v>
      </c>
      <c r="I423" s="32" t="b">
        <f aca="false">FALSE()</f>
        <v>0</v>
      </c>
      <c r="J423" s="32" t="b">
        <f aca="false">TRUE()</f>
        <v>1</v>
      </c>
      <c r="K423" s="32" t="b">
        <f aca="false">FALSE()</f>
        <v>0</v>
      </c>
      <c r="L423" s="7" t="s">
        <v>445</v>
      </c>
      <c r="M423" s="7" t="s">
        <v>446</v>
      </c>
      <c r="N423" s="7" t="s">
        <v>479</v>
      </c>
      <c r="O423" s="7" t="n">
        <v>63965.3</v>
      </c>
      <c r="P423" s="7" t="n">
        <v>64330.89</v>
      </c>
      <c r="Q423" s="7" t="n">
        <v>-119.94</v>
      </c>
      <c r="R423" s="7" t="s">
        <v>70</v>
      </c>
    </row>
    <row r="424" customFormat="false" ht="15" hidden="false" customHeight="false" outlineLevel="0" collapsed="false">
      <c r="A424" s="7" t="s">
        <v>368</v>
      </c>
      <c r="B424" s="7" t="s">
        <v>64</v>
      </c>
      <c r="C424" s="7" t="n">
        <v>64996.9</v>
      </c>
      <c r="D424" s="7" t="n">
        <v>64663</v>
      </c>
      <c r="E424" s="7" t="n">
        <v>0.005163694848677</v>
      </c>
      <c r="F424" s="7" t="s">
        <v>60</v>
      </c>
      <c r="G424" s="7" t="s">
        <v>448</v>
      </c>
      <c r="H424" s="7" t="s">
        <v>67</v>
      </c>
      <c r="I424" s="32" t="b">
        <f aca="false">FALSE()</f>
        <v>0</v>
      </c>
      <c r="J424" s="32" t="b">
        <f aca="false">TRUE()</f>
        <v>1</v>
      </c>
      <c r="K424" s="32" t="b">
        <f aca="false">FALSE()</f>
        <v>0</v>
      </c>
      <c r="L424" s="7" t="s">
        <v>445</v>
      </c>
      <c r="M424" s="7" t="s">
        <v>446</v>
      </c>
      <c r="N424" s="7" t="s">
        <v>449</v>
      </c>
      <c r="O424" s="7" t="n">
        <v>64982.8</v>
      </c>
      <c r="P424" s="7" t="n">
        <v>65289.39</v>
      </c>
      <c r="Q424" s="7" t="n">
        <v>28.26</v>
      </c>
      <c r="R424" s="7" t="s">
        <v>69</v>
      </c>
    </row>
    <row r="425" customFormat="false" ht="15" hidden="false" customHeight="false" outlineLevel="0" collapsed="false">
      <c r="A425" s="7" t="s">
        <v>369</v>
      </c>
      <c r="B425" s="7" t="s">
        <v>63</v>
      </c>
      <c r="C425" s="7" t="n">
        <v>64002.6</v>
      </c>
      <c r="D425" s="7" t="n">
        <v>63835.6</v>
      </c>
      <c r="E425" s="7" t="n">
        <v>0.0026160950942734</v>
      </c>
      <c r="F425" s="7" t="s">
        <v>60</v>
      </c>
      <c r="G425" s="7" t="s">
        <v>448</v>
      </c>
      <c r="H425" s="7" t="s">
        <v>67</v>
      </c>
      <c r="I425" s="32" t="b">
        <f aca="false">FALSE()</f>
        <v>0</v>
      </c>
      <c r="J425" s="32" t="b">
        <f aca="false">TRUE()</f>
        <v>1</v>
      </c>
      <c r="K425" s="32" t="b">
        <f aca="false">FALSE()</f>
        <v>0</v>
      </c>
      <c r="L425" s="7" t="s">
        <v>445</v>
      </c>
      <c r="M425" s="7" t="s">
        <v>446</v>
      </c>
      <c r="N425" s="7" t="s">
        <v>469</v>
      </c>
      <c r="O425" s="7" t="n">
        <v>63896.32</v>
      </c>
      <c r="P425" s="7" t="n">
        <v>64290.61</v>
      </c>
      <c r="Q425" s="7" t="n">
        <v>18.92</v>
      </c>
      <c r="R425" s="7" t="s">
        <v>69</v>
      </c>
    </row>
    <row r="426" customFormat="false" ht="15" hidden="false" customHeight="false" outlineLevel="0" collapsed="false">
      <c r="A426" s="7" t="s">
        <v>369</v>
      </c>
      <c r="B426" s="7" t="s">
        <v>64</v>
      </c>
      <c r="C426" s="7" t="n">
        <v>63799.1</v>
      </c>
      <c r="D426" s="7" t="n">
        <v>63430.3</v>
      </c>
      <c r="E426" s="7" t="n">
        <v>0.0058142559628441</v>
      </c>
      <c r="F426" s="7" t="s">
        <v>59</v>
      </c>
      <c r="G426" s="7" t="s">
        <v>444</v>
      </c>
      <c r="H426" s="7" t="s">
        <v>67</v>
      </c>
      <c r="I426" s="32" t="b">
        <f aca="false">TRUE()</f>
        <v>1</v>
      </c>
      <c r="J426" s="32" t="b">
        <f aca="false">FALSE()</f>
        <v>0</v>
      </c>
      <c r="K426" s="32" t="b">
        <f aca="false">FALSE()</f>
        <v>0</v>
      </c>
      <c r="L426" s="7" t="s">
        <v>445</v>
      </c>
      <c r="M426" s="7" t="s">
        <v>446</v>
      </c>
      <c r="N426" s="7" t="s">
        <v>508</v>
      </c>
      <c r="O426" s="7" t="n">
        <v>63235.35</v>
      </c>
      <c r="P426" s="7" t="n">
        <v>63525.45</v>
      </c>
      <c r="Q426" s="7" t="n">
        <v>122.16</v>
      </c>
      <c r="R426" s="7" t="s">
        <v>69</v>
      </c>
    </row>
    <row r="427" customFormat="false" ht="15" hidden="false" customHeight="false" outlineLevel="0" collapsed="false">
      <c r="A427" s="7" t="s">
        <v>370</v>
      </c>
      <c r="B427" s="7" t="s">
        <v>63</v>
      </c>
      <c r="C427" s="7" t="n">
        <v>63040</v>
      </c>
      <c r="D427" s="7" t="n">
        <v>63001.4</v>
      </c>
      <c r="E427" s="7" t="n">
        <v>0.0006126847974806</v>
      </c>
      <c r="F427" s="7" t="s">
        <v>450</v>
      </c>
      <c r="G427" s="7" t="s">
        <v>451</v>
      </c>
      <c r="H427" s="7" t="s">
        <v>450</v>
      </c>
      <c r="I427" s="32" t="b">
        <f aca="false">FALSE()</f>
        <v>0</v>
      </c>
      <c r="J427" s="32" t="b">
        <f aca="false">FALSE()</f>
        <v>0</v>
      </c>
      <c r="K427" s="32" t="b">
        <f aca="false">FALSE()</f>
        <v>0</v>
      </c>
      <c r="L427" s="7" t="s">
        <v>445</v>
      </c>
      <c r="M427" s="7" t="s">
        <v>452</v>
      </c>
      <c r="N427" s="7" t="s">
        <v>453</v>
      </c>
      <c r="O427" s="7"/>
      <c r="P427" s="7"/>
      <c r="Q427" s="7"/>
      <c r="R427" s="7"/>
    </row>
    <row r="428" customFormat="false" ht="15" hidden="false" customHeight="false" outlineLevel="0" collapsed="false">
      <c r="A428" s="7" t="s">
        <v>370</v>
      </c>
      <c r="B428" s="7" t="s">
        <v>64</v>
      </c>
      <c r="C428" s="7" t="n">
        <v>63069.7</v>
      </c>
      <c r="D428" s="7" t="n">
        <v>63046.3</v>
      </c>
      <c r="E428" s="7" t="n">
        <v>0.0003711558013712</v>
      </c>
      <c r="F428" s="7" t="s">
        <v>59</v>
      </c>
      <c r="G428" s="7" t="s">
        <v>444</v>
      </c>
      <c r="H428" s="7" t="s">
        <v>67</v>
      </c>
      <c r="I428" s="32" t="b">
        <f aca="false">TRUE()</f>
        <v>1</v>
      </c>
      <c r="J428" s="32" t="b">
        <f aca="false">FALSE()</f>
        <v>0</v>
      </c>
      <c r="K428" s="32" t="b">
        <f aca="false">FALSE()</f>
        <v>0</v>
      </c>
      <c r="L428" s="7" t="s">
        <v>445</v>
      </c>
      <c r="M428" s="7" t="s">
        <v>446</v>
      </c>
      <c r="N428" s="7" t="s">
        <v>563</v>
      </c>
      <c r="O428" s="7" t="n">
        <v>63023.99</v>
      </c>
      <c r="P428" s="7" t="n">
        <v>63140.87</v>
      </c>
      <c r="Q428" s="7" t="n">
        <v>-5.27</v>
      </c>
      <c r="R428" s="7" t="s">
        <v>72</v>
      </c>
    </row>
    <row r="429" customFormat="false" ht="15" hidden="false" customHeight="false" outlineLevel="0" collapsed="false">
      <c r="A429" s="7" t="s">
        <v>371</v>
      </c>
      <c r="B429" s="7" t="s">
        <v>63</v>
      </c>
      <c r="C429" s="7" t="n">
        <v>63514.2</v>
      </c>
      <c r="D429" s="7" t="n">
        <v>63459</v>
      </c>
      <c r="E429" s="7" t="n">
        <v>0.0008698529759371</v>
      </c>
      <c r="F429" s="7" t="s">
        <v>60</v>
      </c>
      <c r="G429" s="7" t="s">
        <v>448</v>
      </c>
      <c r="H429" s="7" t="s">
        <v>67</v>
      </c>
      <c r="I429" s="32" t="b">
        <f aca="false">FALSE()</f>
        <v>0</v>
      </c>
      <c r="J429" s="32" t="b">
        <f aca="false">TRUE()</f>
        <v>1</v>
      </c>
      <c r="K429" s="32" t="b">
        <f aca="false">FALSE()</f>
        <v>0</v>
      </c>
      <c r="L429" s="7" t="s">
        <v>445</v>
      </c>
      <c r="M429" s="7" t="s">
        <v>446</v>
      </c>
      <c r="N429" s="7" t="s">
        <v>454</v>
      </c>
      <c r="O429" s="7" t="n">
        <v>63449.81</v>
      </c>
      <c r="P429" s="7" t="n">
        <v>63800.01</v>
      </c>
      <c r="Q429" s="7" t="n">
        <v>31.12</v>
      </c>
      <c r="R429" s="7" t="s">
        <v>69</v>
      </c>
    </row>
    <row r="430" customFormat="false" ht="15" hidden="false" customHeight="false" outlineLevel="0" collapsed="false">
      <c r="A430" s="7" t="s">
        <v>371</v>
      </c>
      <c r="B430" s="7" t="s">
        <v>64</v>
      </c>
      <c r="C430" s="7" t="n">
        <v>63082.8</v>
      </c>
      <c r="D430" s="7" t="n">
        <v>62974.4</v>
      </c>
      <c r="E430" s="7" t="n">
        <v>0.0017213343834955</v>
      </c>
      <c r="F430" s="7" t="s">
        <v>450</v>
      </c>
      <c r="G430" s="7" t="s">
        <v>451</v>
      </c>
      <c r="H430" s="7" t="s">
        <v>450</v>
      </c>
      <c r="I430" s="32" t="b">
        <f aca="false">FALSE()</f>
        <v>0</v>
      </c>
      <c r="J430" s="32" t="b">
        <f aca="false">FALSE()</f>
        <v>0</v>
      </c>
      <c r="K430" s="32" t="b">
        <f aca="false">FALSE()</f>
        <v>0</v>
      </c>
      <c r="L430" s="7" t="s">
        <v>445</v>
      </c>
      <c r="M430" s="7" t="s">
        <v>452</v>
      </c>
      <c r="N430" s="7" t="s">
        <v>453</v>
      </c>
      <c r="O430" s="7"/>
      <c r="P430" s="7"/>
      <c r="Q430" s="7"/>
      <c r="R430" s="7"/>
    </row>
    <row r="431" customFormat="false" ht="15" hidden="false" customHeight="false" outlineLevel="0" collapsed="false">
      <c r="A431" s="7" t="s">
        <v>372</v>
      </c>
      <c r="B431" s="7" t="s">
        <v>63</v>
      </c>
      <c r="C431" s="7" t="n">
        <v>62671.6</v>
      </c>
      <c r="D431" s="7" t="n">
        <v>62566.1</v>
      </c>
      <c r="E431" s="7" t="n">
        <v>0.0016862166572632</v>
      </c>
      <c r="F431" s="7" t="s">
        <v>60</v>
      </c>
      <c r="G431" s="7" t="s">
        <v>459</v>
      </c>
      <c r="H431" s="7" t="s">
        <v>66</v>
      </c>
      <c r="I431" s="32" t="b">
        <f aca="false">FALSE()</f>
        <v>0</v>
      </c>
      <c r="J431" s="32" t="b">
        <f aca="false">TRUE()</f>
        <v>1</v>
      </c>
      <c r="K431" s="32" t="b">
        <f aca="false">FALSE()</f>
        <v>0</v>
      </c>
      <c r="L431" s="7" t="s">
        <v>445</v>
      </c>
      <c r="M431" s="7" t="s">
        <v>446</v>
      </c>
      <c r="N431" s="7" t="s">
        <v>460</v>
      </c>
      <c r="O431" s="7" t="n">
        <v>62603.52</v>
      </c>
      <c r="P431" s="7" t="n">
        <v>62284.55</v>
      </c>
      <c r="Q431" s="7" t="n">
        <v>-107.1</v>
      </c>
      <c r="R431" s="7" t="s">
        <v>70</v>
      </c>
    </row>
    <row r="432" customFormat="false" ht="15" hidden="false" customHeight="false" outlineLevel="0" collapsed="false">
      <c r="A432" s="7" t="s">
        <v>372</v>
      </c>
      <c r="B432" s="7" t="s">
        <v>64</v>
      </c>
      <c r="C432" s="7" t="n">
        <v>62915.9</v>
      </c>
      <c r="D432" s="7" t="n">
        <v>62533.3</v>
      </c>
      <c r="E432" s="7" t="n">
        <v>0.0061183401483689</v>
      </c>
      <c r="F432" s="7" t="s">
        <v>59</v>
      </c>
      <c r="G432" s="7" t="s">
        <v>444</v>
      </c>
      <c r="H432" s="7" t="s">
        <v>66</v>
      </c>
      <c r="I432" s="32" t="b">
        <f aca="false">TRUE()</f>
        <v>1</v>
      </c>
      <c r="J432" s="32" t="b">
        <f aca="false">FALSE()</f>
        <v>0</v>
      </c>
      <c r="K432" s="32" t="b">
        <f aca="false">FALSE()</f>
        <v>0</v>
      </c>
      <c r="L432" s="7" t="s">
        <v>445</v>
      </c>
      <c r="M432" s="7" t="s">
        <v>446</v>
      </c>
      <c r="N432" s="7" t="s">
        <v>507</v>
      </c>
      <c r="O432" s="7" t="n">
        <v>63330.26</v>
      </c>
      <c r="P432" s="7" t="n">
        <v>62821.53</v>
      </c>
      <c r="Q432" s="7" t="n">
        <v>34.52</v>
      </c>
      <c r="R432" s="7" t="s">
        <v>69</v>
      </c>
    </row>
    <row r="433" customFormat="false" ht="15" hidden="false" customHeight="false" outlineLevel="0" collapsed="false">
      <c r="A433" s="7" t="s">
        <v>373</v>
      </c>
      <c r="B433" s="7" t="s">
        <v>63</v>
      </c>
      <c r="C433" s="7" t="n">
        <v>63736.6</v>
      </c>
      <c r="D433" s="7" t="n">
        <v>63610.1</v>
      </c>
      <c r="E433" s="7" t="n">
        <v>0.0019886778986355</v>
      </c>
      <c r="F433" s="7" t="s">
        <v>60</v>
      </c>
      <c r="G433" s="7" t="s">
        <v>448</v>
      </c>
      <c r="H433" s="7" t="s">
        <v>67</v>
      </c>
      <c r="I433" s="32" t="b">
        <f aca="false">FALSE()</f>
        <v>0</v>
      </c>
      <c r="J433" s="32" t="b">
        <f aca="false">TRUE()</f>
        <v>1</v>
      </c>
      <c r="K433" s="32" t="b">
        <f aca="false">FALSE()</f>
        <v>0</v>
      </c>
      <c r="L433" s="7" t="s">
        <v>445</v>
      </c>
      <c r="M433" s="7" t="s">
        <v>446</v>
      </c>
      <c r="N433" s="7" t="s">
        <v>469</v>
      </c>
      <c r="O433" s="7" t="n">
        <v>63653.77</v>
      </c>
      <c r="P433" s="7" t="n">
        <v>64023.41</v>
      </c>
      <c r="Q433" s="7" t="n">
        <v>15.9</v>
      </c>
      <c r="R433" s="7" t="s">
        <v>69</v>
      </c>
    </row>
    <row r="434" customFormat="false" ht="15" hidden="false" customHeight="false" outlineLevel="0" collapsed="false">
      <c r="A434" s="7" t="s">
        <v>373</v>
      </c>
      <c r="B434" s="7" t="s">
        <v>64</v>
      </c>
      <c r="C434" s="7" t="n">
        <v>64080</v>
      </c>
      <c r="D434" s="7" t="n">
        <v>63793.1</v>
      </c>
      <c r="E434" s="7" t="n">
        <v>0.0044973515944514</v>
      </c>
      <c r="F434" s="7" t="s">
        <v>450</v>
      </c>
      <c r="G434" s="7" t="s">
        <v>451</v>
      </c>
      <c r="H434" s="7" t="s">
        <v>450</v>
      </c>
      <c r="I434" s="32" t="b">
        <f aca="false">FALSE()</f>
        <v>0</v>
      </c>
      <c r="J434" s="32" t="b">
        <f aca="false">FALSE()</f>
        <v>0</v>
      </c>
      <c r="K434" s="32" t="b">
        <f aca="false">FALSE()</f>
        <v>0</v>
      </c>
      <c r="L434" s="7" t="s">
        <v>445</v>
      </c>
      <c r="M434" s="7" t="s">
        <v>452</v>
      </c>
      <c r="N434" s="7" t="s">
        <v>453</v>
      </c>
      <c r="O434" s="7"/>
      <c r="P434" s="7"/>
      <c r="Q434" s="7"/>
      <c r="R434" s="7"/>
    </row>
    <row r="435" customFormat="false" ht="15" hidden="false" customHeight="false" outlineLevel="0" collapsed="false">
      <c r="A435" s="7" t="s">
        <v>564</v>
      </c>
      <c r="B435" s="7" t="s">
        <v>63</v>
      </c>
      <c r="C435" s="7" t="n">
        <v>64063</v>
      </c>
      <c r="D435" s="7" t="n">
        <v>63962.4</v>
      </c>
      <c r="E435" s="7" t="n">
        <v>0.0015727990194238</v>
      </c>
      <c r="F435" s="7" t="s">
        <v>450</v>
      </c>
      <c r="G435" s="7" t="s">
        <v>451</v>
      </c>
      <c r="H435" s="7" t="s">
        <v>450</v>
      </c>
      <c r="I435" s="32" t="b">
        <f aca="false">FALSE()</f>
        <v>0</v>
      </c>
      <c r="J435" s="32" t="b">
        <f aca="false">FALSE()</f>
        <v>0</v>
      </c>
      <c r="K435" s="32" t="b">
        <f aca="false">FALSE()</f>
        <v>0</v>
      </c>
      <c r="L435" s="7" t="s">
        <v>445</v>
      </c>
      <c r="M435" s="7" t="s">
        <v>452</v>
      </c>
      <c r="N435" s="7" t="s">
        <v>453</v>
      </c>
      <c r="O435" s="7"/>
      <c r="P435" s="7"/>
      <c r="Q435" s="7"/>
      <c r="R435" s="7"/>
    </row>
    <row r="436" customFormat="false" ht="15" hidden="false" customHeight="false" outlineLevel="0" collapsed="false">
      <c r="A436" s="7" t="s">
        <v>564</v>
      </c>
      <c r="B436" s="7" t="s">
        <v>64</v>
      </c>
      <c r="C436" s="7" t="n">
        <v>64265.7</v>
      </c>
      <c r="D436" s="7" t="n">
        <v>63847</v>
      </c>
      <c r="E436" s="7" t="n">
        <v>0.0065578648957663</v>
      </c>
      <c r="F436" s="7" t="s">
        <v>450</v>
      </c>
      <c r="G436" s="7" t="s">
        <v>451</v>
      </c>
      <c r="H436" s="7" t="s">
        <v>450</v>
      </c>
      <c r="I436" s="32" t="b">
        <f aca="false">FALSE()</f>
        <v>0</v>
      </c>
      <c r="J436" s="32" t="b">
        <f aca="false">FALSE()</f>
        <v>0</v>
      </c>
      <c r="K436" s="32" t="b">
        <f aca="false">FALSE()</f>
        <v>0</v>
      </c>
      <c r="L436" s="7" t="s">
        <v>445</v>
      </c>
      <c r="M436" s="7" t="s">
        <v>452</v>
      </c>
      <c r="N436" s="7" t="s">
        <v>453</v>
      </c>
      <c r="O436" s="7"/>
      <c r="P436" s="7"/>
      <c r="Q436" s="7"/>
      <c r="R436" s="7"/>
    </row>
    <row r="437" customFormat="false" ht="15" hidden="false" customHeight="false" outlineLevel="0" collapsed="false">
      <c r="A437" s="7" t="s">
        <v>374</v>
      </c>
      <c r="B437" s="7" t="s">
        <v>63</v>
      </c>
      <c r="C437" s="7" t="n">
        <v>64879</v>
      </c>
      <c r="D437" s="7" t="n">
        <v>64750</v>
      </c>
      <c r="E437" s="7" t="n">
        <v>0.0019922779922779</v>
      </c>
      <c r="F437" s="7" t="s">
        <v>60</v>
      </c>
      <c r="G437" s="7" t="s">
        <v>459</v>
      </c>
      <c r="H437" s="7" t="s">
        <v>66</v>
      </c>
      <c r="I437" s="32" t="b">
        <f aca="false">FALSE()</f>
        <v>0</v>
      </c>
      <c r="J437" s="32" t="b">
        <f aca="false">TRUE()</f>
        <v>1</v>
      </c>
      <c r="K437" s="32" t="b">
        <f aca="false">FALSE()</f>
        <v>0</v>
      </c>
      <c r="L437" s="7" t="s">
        <v>445</v>
      </c>
      <c r="M437" s="7" t="s">
        <v>446</v>
      </c>
      <c r="N437" s="7" t="s">
        <v>467</v>
      </c>
      <c r="O437" s="7" t="n">
        <v>64802.26</v>
      </c>
      <c r="P437" s="7" t="n">
        <v>64458.62</v>
      </c>
      <c r="Q437" s="7" t="n">
        <v>-115.17</v>
      </c>
      <c r="R437" s="7" t="s">
        <v>70</v>
      </c>
    </row>
    <row r="438" customFormat="false" ht="15" hidden="false" customHeight="false" outlineLevel="0" collapsed="false">
      <c r="A438" s="7" t="s">
        <v>374</v>
      </c>
      <c r="B438" s="7" t="s">
        <v>64</v>
      </c>
      <c r="C438" s="7" t="n">
        <v>64409.6</v>
      </c>
      <c r="D438" s="7" t="n">
        <v>64143</v>
      </c>
      <c r="E438" s="7" t="n">
        <v>0.0041563381818748</v>
      </c>
      <c r="F438" s="7" t="s">
        <v>60</v>
      </c>
      <c r="G438" s="7" t="s">
        <v>448</v>
      </c>
      <c r="H438" s="7" t="s">
        <v>67</v>
      </c>
      <c r="I438" s="32" t="b">
        <f aca="false">FALSE()</f>
        <v>0</v>
      </c>
      <c r="J438" s="32" t="b">
        <f aca="false">TRUE()</f>
        <v>1</v>
      </c>
      <c r="K438" s="32" t="b">
        <f aca="false">FALSE()</f>
        <v>0</v>
      </c>
      <c r="L438" s="7" t="s">
        <v>445</v>
      </c>
      <c r="M438" s="7" t="s">
        <v>446</v>
      </c>
      <c r="N438" s="7" t="s">
        <v>469</v>
      </c>
      <c r="O438" s="7" t="n">
        <v>64391.92</v>
      </c>
      <c r="P438" s="7" t="n">
        <v>64699.44</v>
      </c>
      <c r="Q438" s="7" t="n">
        <v>-104.77</v>
      </c>
      <c r="R438" s="7" t="s">
        <v>70</v>
      </c>
    </row>
    <row r="439" customFormat="false" ht="15" hidden="false" customHeight="false" outlineLevel="0" collapsed="false">
      <c r="A439" s="7" t="s">
        <v>375</v>
      </c>
      <c r="B439" s="7" t="s">
        <v>63</v>
      </c>
      <c r="C439" s="7" t="n">
        <v>64393.3</v>
      </c>
      <c r="D439" s="7" t="n">
        <v>64337.6</v>
      </c>
      <c r="E439" s="7" t="n">
        <v>0.0008657456914775</v>
      </c>
      <c r="F439" s="7" t="s">
        <v>59</v>
      </c>
      <c r="G439" s="7" t="s">
        <v>444</v>
      </c>
      <c r="H439" s="7" t="s">
        <v>67</v>
      </c>
      <c r="I439" s="32" t="b">
        <f aca="false">TRUE()</f>
        <v>1</v>
      </c>
      <c r="J439" s="32" t="b">
        <f aca="false">FALSE()</f>
        <v>0</v>
      </c>
      <c r="K439" s="32" t="b">
        <f aca="false">FALSE()</f>
        <v>0</v>
      </c>
      <c r="L439" s="7" t="s">
        <v>445</v>
      </c>
      <c r="M439" s="7" t="s">
        <v>446</v>
      </c>
      <c r="N439" s="7" t="s">
        <v>474</v>
      </c>
      <c r="O439" s="7" t="n">
        <v>64275.94</v>
      </c>
      <c r="P439" s="7" t="n">
        <v>64434.11</v>
      </c>
      <c r="Q439" s="7" t="n">
        <v>-152.34</v>
      </c>
      <c r="R439" s="7" t="s">
        <v>70</v>
      </c>
    </row>
    <row r="440" customFormat="false" ht="15" hidden="false" customHeight="false" outlineLevel="0" collapsed="false">
      <c r="A440" s="7" t="s">
        <v>375</v>
      </c>
      <c r="B440" s="7" t="s">
        <v>64</v>
      </c>
      <c r="C440" s="7" t="n">
        <v>65292</v>
      </c>
      <c r="D440" s="7" t="n">
        <v>65071.2</v>
      </c>
      <c r="E440" s="7" t="n">
        <v>0.0033932062110427</v>
      </c>
      <c r="F440" s="7" t="s">
        <v>450</v>
      </c>
      <c r="G440" s="7" t="s">
        <v>451</v>
      </c>
      <c r="H440" s="7" t="s">
        <v>450</v>
      </c>
      <c r="I440" s="32" t="b">
        <f aca="false">FALSE()</f>
        <v>0</v>
      </c>
      <c r="J440" s="32" t="b">
        <f aca="false">FALSE()</f>
        <v>0</v>
      </c>
      <c r="K440" s="32" t="b">
        <f aca="false">FALSE()</f>
        <v>0</v>
      </c>
      <c r="L440" s="7" t="s">
        <v>445</v>
      </c>
      <c r="M440" s="7" t="s">
        <v>452</v>
      </c>
      <c r="N440" s="7" t="s">
        <v>453</v>
      </c>
      <c r="O440" s="7"/>
      <c r="P440" s="7"/>
      <c r="Q440" s="7"/>
      <c r="R440" s="7"/>
    </row>
    <row r="441" customFormat="false" ht="15" hidden="false" customHeight="false" outlineLevel="0" collapsed="false">
      <c r="A441" s="7" t="s">
        <v>376</v>
      </c>
      <c r="B441" s="7" t="s">
        <v>63</v>
      </c>
      <c r="C441" s="7" t="n">
        <v>64974.3</v>
      </c>
      <c r="D441" s="7" t="n">
        <v>64919.5</v>
      </c>
      <c r="E441" s="7" t="n">
        <v>0.000844122336124</v>
      </c>
      <c r="F441" s="7" t="s">
        <v>60</v>
      </c>
      <c r="G441" s="7" t="s">
        <v>459</v>
      </c>
      <c r="H441" s="7" t="s">
        <v>66</v>
      </c>
      <c r="I441" s="32" t="b">
        <f aca="false">FALSE()</f>
        <v>0</v>
      </c>
      <c r="J441" s="32" t="b">
        <f aca="false">TRUE()</f>
        <v>1</v>
      </c>
      <c r="K441" s="32" t="b">
        <f aca="false">FALSE()</f>
        <v>0</v>
      </c>
      <c r="L441" s="7" t="s">
        <v>445</v>
      </c>
      <c r="M441" s="7" t="s">
        <v>446</v>
      </c>
      <c r="N441" s="7" t="s">
        <v>465</v>
      </c>
      <c r="O441" s="7" t="n">
        <v>64949.29</v>
      </c>
      <c r="P441" s="7" t="n">
        <v>64627.36</v>
      </c>
      <c r="Q441" s="7" t="n">
        <v>-17.02</v>
      </c>
      <c r="R441" s="7" t="s">
        <v>71</v>
      </c>
    </row>
    <row r="442" customFormat="false" ht="15" hidden="false" customHeight="false" outlineLevel="0" collapsed="false">
      <c r="A442" s="7" t="s">
        <v>376</v>
      </c>
      <c r="B442" s="7" t="s">
        <v>64</v>
      </c>
      <c r="C442" s="7" t="n">
        <v>64990.9</v>
      </c>
      <c r="D442" s="7" t="n">
        <v>64973.7</v>
      </c>
      <c r="E442" s="7" t="n">
        <v>0.0002647224954097</v>
      </c>
      <c r="F442" s="7" t="s">
        <v>450</v>
      </c>
      <c r="G442" s="7" t="s">
        <v>451</v>
      </c>
      <c r="H442" s="7" t="s">
        <v>450</v>
      </c>
      <c r="I442" s="32" t="b">
        <f aca="false">FALSE()</f>
        <v>0</v>
      </c>
      <c r="J442" s="32" t="b">
        <f aca="false">FALSE()</f>
        <v>0</v>
      </c>
      <c r="K442" s="32" t="b">
        <f aca="false">FALSE()</f>
        <v>0</v>
      </c>
      <c r="L442" s="7" t="s">
        <v>445</v>
      </c>
      <c r="M442" s="7" t="s">
        <v>452</v>
      </c>
      <c r="N442" s="7" t="s">
        <v>458</v>
      </c>
      <c r="O442" s="7"/>
      <c r="P442" s="7"/>
      <c r="Q442" s="7"/>
      <c r="R442" s="7"/>
    </row>
    <row r="443" customFormat="false" ht="15" hidden="false" customHeight="false" outlineLevel="0" collapsed="false">
      <c r="A443" s="7" t="s">
        <v>565</v>
      </c>
      <c r="B443" s="7" t="s">
        <v>63</v>
      </c>
      <c r="C443" s="7" t="n">
        <v>64812.9</v>
      </c>
      <c r="D443" s="7" t="n">
        <v>64806.3</v>
      </c>
      <c r="E443" s="7" t="n">
        <v>0.000101841950551</v>
      </c>
      <c r="F443" s="7" t="s">
        <v>450</v>
      </c>
      <c r="G443" s="7" t="s">
        <v>451</v>
      </c>
      <c r="H443" s="7" t="s">
        <v>450</v>
      </c>
      <c r="I443" s="32" t="b">
        <f aca="false">FALSE()</f>
        <v>0</v>
      </c>
      <c r="J443" s="32" t="b">
        <f aca="false">FALSE()</f>
        <v>0</v>
      </c>
      <c r="K443" s="32" t="b">
        <f aca="false">FALSE()</f>
        <v>0</v>
      </c>
      <c r="L443" s="7" t="s">
        <v>445</v>
      </c>
      <c r="M443" s="7" t="s">
        <v>452</v>
      </c>
      <c r="N443" s="7" t="s">
        <v>458</v>
      </c>
      <c r="O443" s="7"/>
      <c r="P443" s="7"/>
      <c r="Q443" s="7"/>
      <c r="R443" s="7"/>
    </row>
    <row r="444" customFormat="false" ht="15" hidden="false" customHeight="false" outlineLevel="0" collapsed="false">
      <c r="A444" s="7" t="s">
        <v>565</v>
      </c>
      <c r="B444" s="7" t="s">
        <v>64</v>
      </c>
      <c r="C444" s="7" t="n">
        <v>65245.5</v>
      </c>
      <c r="D444" s="7" t="n">
        <v>65061.8</v>
      </c>
      <c r="E444" s="7" t="n">
        <v>0.0028234693783448</v>
      </c>
      <c r="F444" s="7" t="s">
        <v>450</v>
      </c>
      <c r="G444" s="7" t="s">
        <v>451</v>
      </c>
      <c r="H444" s="7" t="s">
        <v>450</v>
      </c>
      <c r="I444" s="32" t="b">
        <f aca="false">FALSE()</f>
        <v>0</v>
      </c>
      <c r="J444" s="32" t="b">
        <f aca="false">FALSE()</f>
        <v>0</v>
      </c>
      <c r="K444" s="32" t="b">
        <f aca="false">FALSE()</f>
        <v>0</v>
      </c>
      <c r="L444" s="7" t="s">
        <v>445</v>
      </c>
      <c r="M444" s="7" t="s">
        <v>452</v>
      </c>
      <c r="N444" s="7" t="s">
        <v>458</v>
      </c>
      <c r="O444" s="7"/>
      <c r="P444" s="7"/>
      <c r="Q444" s="7"/>
      <c r="R444" s="7"/>
    </row>
    <row r="445" customFormat="false" ht="15" hidden="false" customHeight="false" outlineLevel="0" collapsed="false">
      <c r="A445" s="7" t="s">
        <v>377</v>
      </c>
      <c r="B445" s="7" t="s">
        <v>63</v>
      </c>
      <c r="C445" s="7" t="n">
        <v>65348.4</v>
      </c>
      <c r="D445" s="7" t="n">
        <v>65280</v>
      </c>
      <c r="E445" s="7" t="n">
        <v>0.001047794117647</v>
      </c>
      <c r="F445" s="7" t="s">
        <v>59</v>
      </c>
      <c r="G445" s="7" t="s">
        <v>444</v>
      </c>
      <c r="H445" s="7" t="s">
        <v>67</v>
      </c>
      <c r="I445" s="32" t="b">
        <f aca="false">TRUE()</f>
        <v>1</v>
      </c>
      <c r="J445" s="32" t="b">
        <f aca="false">FALSE()</f>
        <v>0</v>
      </c>
      <c r="K445" s="32" t="b">
        <f aca="false">FALSE()</f>
        <v>0</v>
      </c>
      <c r="L445" s="7" t="s">
        <v>445</v>
      </c>
      <c r="M445" s="7" t="s">
        <v>446</v>
      </c>
      <c r="N445" s="7" t="s">
        <v>566</v>
      </c>
      <c r="O445" s="7" t="n">
        <v>65169.96</v>
      </c>
      <c r="P445" s="7" t="n">
        <v>65377.92</v>
      </c>
      <c r="Q445" s="7" t="n">
        <v>28.25</v>
      </c>
      <c r="R445" s="7" t="s">
        <v>69</v>
      </c>
    </row>
    <row r="446" customFormat="false" ht="15" hidden="false" customHeight="false" outlineLevel="0" collapsed="false">
      <c r="A446" s="7" t="s">
        <v>377</v>
      </c>
      <c r="B446" s="7" t="s">
        <v>64</v>
      </c>
      <c r="C446" s="7" t="n">
        <v>64907</v>
      </c>
      <c r="D446" s="7" t="n">
        <v>64575.8</v>
      </c>
      <c r="E446" s="7" t="n">
        <v>0.0051288563207888</v>
      </c>
      <c r="F446" s="7" t="s">
        <v>450</v>
      </c>
      <c r="G446" s="7" t="s">
        <v>451</v>
      </c>
      <c r="H446" s="7" t="s">
        <v>450</v>
      </c>
      <c r="I446" s="32" t="b">
        <f aca="false">FALSE()</f>
        <v>0</v>
      </c>
      <c r="J446" s="32" t="b">
        <f aca="false">FALSE()</f>
        <v>0</v>
      </c>
      <c r="K446" s="32" t="b">
        <f aca="false">FALSE()</f>
        <v>0</v>
      </c>
      <c r="L446" s="7" t="s">
        <v>445</v>
      </c>
      <c r="M446" s="7" t="s">
        <v>452</v>
      </c>
      <c r="N446" s="7" t="s">
        <v>453</v>
      </c>
      <c r="O446" s="7"/>
      <c r="P446" s="7"/>
      <c r="Q446" s="7"/>
      <c r="R446" s="7"/>
    </row>
    <row r="447" customFormat="false" ht="15" hidden="false" customHeight="false" outlineLevel="0" collapsed="false">
      <c r="A447" s="7" t="s">
        <v>378</v>
      </c>
      <c r="B447" s="7" t="s">
        <v>63</v>
      </c>
      <c r="C447" s="7" t="n">
        <v>64060</v>
      </c>
      <c r="D447" s="7" t="n">
        <v>63879.9</v>
      </c>
      <c r="E447" s="7" t="n">
        <v>0.0028193531924752</v>
      </c>
      <c r="F447" s="7" t="s">
        <v>60</v>
      </c>
      <c r="G447" s="7" t="s">
        <v>448</v>
      </c>
      <c r="H447" s="7" t="s">
        <v>67</v>
      </c>
      <c r="I447" s="32" t="b">
        <f aca="false">FALSE()</f>
        <v>0</v>
      </c>
      <c r="J447" s="32" t="b">
        <f aca="false">TRUE()</f>
        <v>1</v>
      </c>
      <c r="K447" s="32" t="b">
        <f aca="false">FALSE()</f>
        <v>0</v>
      </c>
      <c r="L447" s="7" t="s">
        <v>445</v>
      </c>
      <c r="M447" s="7" t="s">
        <v>446</v>
      </c>
      <c r="N447" s="7" t="s">
        <v>469</v>
      </c>
      <c r="O447" s="7" t="n">
        <v>64018.89</v>
      </c>
      <c r="P447" s="7" t="n">
        <v>64348.27</v>
      </c>
      <c r="Q447" s="7" t="n">
        <v>-110.93</v>
      </c>
      <c r="R447" s="7" t="s">
        <v>70</v>
      </c>
    </row>
    <row r="448" customFormat="false" ht="15" hidden="false" customHeight="false" outlineLevel="0" collapsed="false">
      <c r="A448" s="7" t="s">
        <v>378</v>
      </c>
      <c r="B448" s="7" t="s">
        <v>64</v>
      </c>
      <c r="C448" s="7" t="n">
        <v>64217.2</v>
      </c>
      <c r="D448" s="7" t="n">
        <v>64023.7</v>
      </c>
      <c r="E448" s="7" t="n">
        <v>0.0030223182977553</v>
      </c>
      <c r="F448" s="7" t="s">
        <v>60</v>
      </c>
      <c r="G448" s="7" t="s">
        <v>459</v>
      </c>
      <c r="H448" s="7" t="s">
        <v>66</v>
      </c>
      <c r="I448" s="32" t="b">
        <f aca="false">FALSE()</f>
        <v>0</v>
      </c>
      <c r="J448" s="32" t="b">
        <f aca="false">TRUE()</f>
        <v>1</v>
      </c>
      <c r="K448" s="32" t="b">
        <f aca="false">FALSE()</f>
        <v>0</v>
      </c>
      <c r="L448" s="7" t="s">
        <v>445</v>
      </c>
      <c r="M448" s="7" t="s">
        <v>446</v>
      </c>
      <c r="N448" s="7" t="s">
        <v>460</v>
      </c>
      <c r="O448" s="7" t="n">
        <v>64187.23</v>
      </c>
      <c r="P448" s="7" t="n">
        <v>63735.59</v>
      </c>
      <c r="Q448" s="7" t="n">
        <v>-95.17</v>
      </c>
      <c r="R448" s="7" t="s">
        <v>70</v>
      </c>
    </row>
    <row r="449" customFormat="false" ht="15" hidden="false" customHeight="false" outlineLevel="0" collapsed="false">
      <c r="A449" s="7" t="s">
        <v>567</v>
      </c>
      <c r="B449" s="7" t="s">
        <v>63</v>
      </c>
      <c r="C449" s="7" t="n">
        <v>63752.8</v>
      </c>
      <c r="D449" s="7" t="n">
        <v>63656</v>
      </c>
      <c r="E449" s="7" t="n">
        <v>0.0015206736207113</v>
      </c>
      <c r="F449" s="7" t="s">
        <v>450</v>
      </c>
      <c r="G449" s="7" t="s">
        <v>451</v>
      </c>
      <c r="H449" s="7" t="s">
        <v>450</v>
      </c>
      <c r="I449" s="32" t="b">
        <f aca="false">FALSE()</f>
        <v>0</v>
      </c>
      <c r="J449" s="32" t="b">
        <f aca="false">FALSE()</f>
        <v>0</v>
      </c>
      <c r="K449" s="32" t="b">
        <f aca="false">FALSE()</f>
        <v>0</v>
      </c>
      <c r="L449" s="7" t="s">
        <v>445</v>
      </c>
      <c r="M449" s="7" t="s">
        <v>452</v>
      </c>
      <c r="N449" s="7" t="s">
        <v>453</v>
      </c>
      <c r="O449" s="7"/>
      <c r="P449" s="7"/>
      <c r="Q449" s="7"/>
      <c r="R449" s="7"/>
    </row>
    <row r="450" customFormat="false" ht="15" hidden="false" customHeight="false" outlineLevel="0" collapsed="false">
      <c r="A450" s="7" t="s">
        <v>567</v>
      </c>
      <c r="B450" s="7" t="s">
        <v>64</v>
      </c>
      <c r="C450" s="7" t="n">
        <v>63987.1</v>
      </c>
      <c r="D450" s="7" t="n">
        <v>63830.1</v>
      </c>
      <c r="E450" s="7" t="n">
        <v>0.002459654614359</v>
      </c>
      <c r="F450" s="7" t="s">
        <v>450</v>
      </c>
      <c r="G450" s="7" t="s">
        <v>451</v>
      </c>
      <c r="H450" s="7" t="s">
        <v>450</v>
      </c>
      <c r="I450" s="32" t="b">
        <f aca="false">FALSE()</f>
        <v>0</v>
      </c>
      <c r="J450" s="32" t="b">
        <f aca="false">FALSE()</f>
        <v>0</v>
      </c>
      <c r="K450" s="32" t="b">
        <f aca="false">FALSE()</f>
        <v>0</v>
      </c>
      <c r="L450" s="7" t="s">
        <v>445</v>
      </c>
      <c r="M450" s="7" t="s">
        <v>452</v>
      </c>
      <c r="N450" s="7" t="s">
        <v>453</v>
      </c>
      <c r="O450" s="7"/>
      <c r="P450" s="7"/>
      <c r="Q450" s="7"/>
      <c r="R450" s="7"/>
    </row>
    <row r="451" customFormat="false" ht="15" hidden="false" customHeight="false" outlineLevel="0" collapsed="false">
      <c r="A451" s="7" t="s">
        <v>379</v>
      </c>
      <c r="B451" s="7" t="s">
        <v>63</v>
      </c>
      <c r="C451" s="7" t="n">
        <v>63870.9</v>
      </c>
      <c r="D451" s="7" t="n">
        <v>63841.3</v>
      </c>
      <c r="E451" s="7" t="n">
        <v>0.0004636497063812</v>
      </c>
      <c r="F451" s="7" t="s">
        <v>59</v>
      </c>
      <c r="G451" s="7" t="s">
        <v>444</v>
      </c>
      <c r="H451" s="7" t="s">
        <v>67</v>
      </c>
      <c r="I451" s="32" t="b">
        <f aca="false">TRUE()</f>
        <v>1</v>
      </c>
      <c r="J451" s="32" t="b">
        <f aca="false">FALSE()</f>
        <v>0</v>
      </c>
      <c r="K451" s="32" t="b">
        <f aca="false">FALSE()</f>
        <v>0</v>
      </c>
      <c r="L451" s="7" t="s">
        <v>445</v>
      </c>
      <c r="M451" s="7" t="s">
        <v>446</v>
      </c>
      <c r="N451" s="7" t="s">
        <v>568</v>
      </c>
      <c r="O451" s="7" t="n">
        <v>63820.23</v>
      </c>
      <c r="P451" s="7" t="n">
        <v>63937.06</v>
      </c>
      <c r="Q451" s="7" t="n">
        <v>-13.4</v>
      </c>
      <c r="R451" s="7" t="s">
        <v>69</v>
      </c>
    </row>
    <row r="452" customFormat="false" ht="15" hidden="false" customHeight="false" outlineLevel="0" collapsed="false">
      <c r="A452" s="7" t="s">
        <v>379</v>
      </c>
      <c r="B452" s="7" t="s">
        <v>64</v>
      </c>
      <c r="C452" s="7" t="n">
        <v>63828</v>
      </c>
      <c r="D452" s="7" t="n">
        <v>63534</v>
      </c>
      <c r="E452" s="7" t="n">
        <v>0.0046274435735196</v>
      </c>
      <c r="F452" s="7" t="s">
        <v>60</v>
      </c>
      <c r="G452" s="7" t="s">
        <v>448</v>
      </c>
      <c r="H452" s="7" t="s">
        <v>67</v>
      </c>
      <c r="I452" s="32" t="b">
        <f aca="false">FALSE()</f>
        <v>0</v>
      </c>
      <c r="J452" s="32" t="b">
        <f aca="false">TRUE()</f>
        <v>1</v>
      </c>
      <c r="K452" s="32" t="b">
        <f aca="false">FALSE()</f>
        <v>0</v>
      </c>
      <c r="L452" s="7" t="s">
        <v>445</v>
      </c>
      <c r="M452" s="7" t="s">
        <v>446</v>
      </c>
      <c r="N452" s="7" t="s">
        <v>502</v>
      </c>
      <c r="O452" s="7" t="n">
        <v>63771.24</v>
      </c>
      <c r="P452" s="7" t="n">
        <v>64115.23</v>
      </c>
      <c r="Q452" s="7" t="n">
        <v>13.39</v>
      </c>
      <c r="R452" s="7" t="s">
        <v>69</v>
      </c>
    </row>
    <row r="453" customFormat="false" ht="15" hidden="false" customHeight="false" outlineLevel="0" collapsed="false">
      <c r="A453" s="7" t="s">
        <v>380</v>
      </c>
      <c r="B453" s="7" t="s">
        <v>63</v>
      </c>
      <c r="C453" s="7" t="n">
        <v>63067.2</v>
      </c>
      <c r="D453" s="7" t="n">
        <v>62926.9</v>
      </c>
      <c r="E453" s="7" t="n">
        <v>0.0022295711373036</v>
      </c>
      <c r="F453" s="7" t="s">
        <v>450</v>
      </c>
      <c r="G453" s="7" t="s">
        <v>451</v>
      </c>
      <c r="H453" s="7" t="s">
        <v>450</v>
      </c>
      <c r="I453" s="32" t="b">
        <f aca="false">FALSE()</f>
        <v>0</v>
      </c>
      <c r="J453" s="32" t="b">
        <f aca="false">FALSE()</f>
        <v>0</v>
      </c>
      <c r="K453" s="32" t="b">
        <f aca="false">FALSE()</f>
        <v>0</v>
      </c>
      <c r="L453" s="7" t="s">
        <v>445</v>
      </c>
      <c r="M453" s="7" t="s">
        <v>452</v>
      </c>
      <c r="N453" s="7" t="s">
        <v>453</v>
      </c>
      <c r="O453" s="7"/>
      <c r="P453" s="7"/>
      <c r="Q453" s="7"/>
      <c r="R453" s="7"/>
    </row>
    <row r="454" customFormat="false" ht="15" hidden="false" customHeight="false" outlineLevel="0" collapsed="false">
      <c r="A454" s="7" t="s">
        <v>380</v>
      </c>
      <c r="B454" s="7" t="s">
        <v>64</v>
      </c>
      <c r="C454" s="7" t="n">
        <v>62794.8</v>
      </c>
      <c r="D454" s="7" t="n">
        <v>62578.2</v>
      </c>
      <c r="E454" s="7" t="n">
        <v>0.0034612692599021</v>
      </c>
      <c r="F454" s="7" t="s">
        <v>60</v>
      </c>
      <c r="G454" s="7" t="s">
        <v>459</v>
      </c>
      <c r="H454" s="7" t="s">
        <v>66</v>
      </c>
      <c r="I454" s="32" t="b">
        <f aca="false">FALSE()</f>
        <v>0</v>
      </c>
      <c r="J454" s="32" t="b">
        <f aca="false">TRUE()</f>
        <v>1</v>
      </c>
      <c r="K454" s="32" t="b">
        <f aca="false">FALSE()</f>
        <v>0</v>
      </c>
      <c r="L454" s="7" t="s">
        <v>445</v>
      </c>
      <c r="M454" s="7" t="s">
        <v>446</v>
      </c>
      <c r="N454" s="7" t="s">
        <v>569</v>
      </c>
      <c r="O454" s="7" t="n">
        <v>62661.13</v>
      </c>
      <c r="P454" s="7" t="n">
        <v>62296.6</v>
      </c>
      <c r="Q454" s="7" t="n">
        <v>47.42</v>
      </c>
      <c r="R454" s="7" t="s">
        <v>69</v>
      </c>
    </row>
    <row r="455" customFormat="false" ht="15" hidden="false" customHeight="false" outlineLevel="0" collapsed="false">
      <c r="A455" s="7" t="s">
        <v>381</v>
      </c>
      <c r="B455" s="7" t="s">
        <v>63</v>
      </c>
      <c r="C455" s="7" t="n">
        <v>63073.6</v>
      </c>
      <c r="D455" s="7" t="n">
        <v>63041.9</v>
      </c>
      <c r="E455" s="7" t="n">
        <v>0.0005028401745505</v>
      </c>
      <c r="F455" s="7" t="s">
        <v>60</v>
      </c>
      <c r="G455" s="7" t="s">
        <v>448</v>
      </c>
      <c r="H455" s="7" t="s">
        <v>67</v>
      </c>
      <c r="I455" s="32" t="b">
        <f aca="false">FALSE()</f>
        <v>0</v>
      </c>
      <c r="J455" s="32" t="b">
        <f aca="false">TRUE()</f>
        <v>1</v>
      </c>
      <c r="K455" s="32" t="b">
        <f aca="false">FALSE()</f>
        <v>0</v>
      </c>
      <c r="L455" s="7" t="s">
        <v>445</v>
      </c>
      <c r="M455" s="7" t="s">
        <v>446</v>
      </c>
      <c r="N455" s="7" t="s">
        <v>449</v>
      </c>
      <c r="O455" s="7" t="n">
        <v>63037.29</v>
      </c>
      <c r="P455" s="7" t="n">
        <v>63357.43</v>
      </c>
      <c r="Q455" s="7" t="n">
        <v>-25.88</v>
      </c>
      <c r="R455" s="7" t="s">
        <v>71</v>
      </c>
    </row>
    <row r="456" customFormat="false" ht="15" hidden="false" customHeight="false" outlineLevel="0" collapsed="false">
      <c r="A456" s="7" t="s">
        <v>381</v>
      </c>
      <c r="B456" s="7" t="s">
        <v>64</v>
      </c>
      <c r="C456" s="7" t="n">
        <v>63022</v>
      </c>
      <c r="D456" s="7" t="n">
        <v>63000</v>
      </c>
      <c r="E456" s="7" t="n">
        <v>0.0003492063492063</v>
      </c>
      <c r="F456" s="7" t="s">
        <v>450</v>
      </c>
      <c r="G456" s="7" t="s">
        <v>451</v>
      </c>
      <c r="H456" s="7" t="s">
        <v>450</v>
      </c>
      <c r="I456" s="32" t="b">
        <f aca="false">FALSE()</f>
        <v>0</v>
      </c>
      <c r="J456" s="32" t="b">
        <f aca="false">FALSE()</f>
        <v>0</v>
      </c>
      <c r="K456" s="32" t="b">
        <f aca="false">FALSE()</f>
        <v>0</v>
      </c>
      <c r="L456" s="7" t="s">
        <v>445</v>
      </c>
      <c r="M456" s="7" t="s">
        <v>452</v>
      </c>
      <c r="N456" s="7" t="s">
        <v>453</v>
      </c>
      <c r="O456" s="7"/>
      <c r="P456" s="7"/>
      <c r="Q456" s="7"/>
      <c r="R456" s="7"/>
    </row>
    <row r="457" customFormat="false" ht="15" hidden="false" customHeight="false" outlineLevel="0" collapsed="false">
      <c r="A457" s="7" t="s">
        <v>382</v>
      </c>
      <c r="B457" s="7" t="s">
        <v>63</v>
      </c>
      <c r="C457" s="7" t="n">
        <v>63035.1</v>
      </c>
      <c r="D457" s="7" t="n">
        <v>63028</v>
      </c>
      <c r="E457" s="7" t="n">
        <v>0.0001126483467664</v>
      </c>
      <c r="F457" s="7" t="s">
        <v>60</v>
      </c>
      <c r="G457" s="7" t="s">
        <v>459</v>
      </c>
      <c r="H457" s="7" t="s">
        <v>66</v>
      </c>
      <c r="I457" s="32" t="b">
        <f aca="false">FALSE()</f>
        <v>0</v>
      </c>
      <c r="J457" s="32" t="b">
        <f aca="false">TRUE()</f>
        <v>1</v>
      </c>
      <c r="K457" s="32" t="b">
        <f aca="false">FALSE()</f>
        <v>0</v>
      </c>
      <c r="L457" s="7" t="s">
        <v>445</v>
      </c>
      <c r="M457" s="7" t="s">
        <v>446</v>
      </c>
      <c r="N457" s="7" t="s">
        <v>465</v>
      </c>
      <c r="O457" s="7" t="n">
        <v>63047.01</v>
      </c>
      <c r="P457" s="7" t="n">
        <v>62744.37</v>
      </c>
      <c r="Q457" s="7" t="n">
        <v>-27.26</v>
      </c>
      <c r="R457" s="7" t="s">
        <v>71</v>
      </c>
    </row>
    <row r="458" customFormat="false" ht="15" hidden="false" customHeight="false" outlineLevel="0" collapsed="false">
      <c r="A458" s="7" t="s">
        <v>382</v>
      </c>
      <c r="B458" s="7" t="s">
        <v>64</v>
      </c>
      <c r="C458" s="7" t="n">
        <v>63040.4</v>
      </c>
      <c r="D458" s="7" t="n">
        <v>63035.9</v>
      </c>
      <c r="E458" s="7" t="n">
        <v>7.13878916617356E-005</v>
      </c>
      <c r="F458" s="7" t="s">
        <v>61</v>
      </c>
      <c r="G458" s="7" t="s">
        <v>455</v>
      </c>
      <c r="H458" s="7" t="s">
        <v>67</v>
      </c>
      <c r="I458" s="32" t="b">
        <f aca="false">TRUE()</f>
        <v>1</v>
      </c>
      <c r="J458" s="32" t="b">
        <f aca="false">FALSE()</f>
        <v>0</v>
      </c>
      <c r="K458" s="32" t="b">
        <f aca="false">FALSE()</f>
        <v>0</v>
      </c>
      <c r="L458" s="7" t="s">
        <v>445</v>
      </c>
      <c r="M458" s="7" t="s">
        <v>446</v>
      </c>
      <c r="N458" s="7" t="s">
        <v>456</v>
      </c>
      <c r="O458" s="7" t="n">
        <v>63059.39</v>
      </c>
      <c r="P458" s="7" t="n">
        <v>63130.45</v>
      </c>
      <c r="Q458" s="7" t="n">
        <v>-126</v>
      </c>
      <c r="R458" s="7" t="s">
        <v>70</v>
      </c>
    </row>
    <row r="459" customFormat="false" ht="15" hidden="false" customHeight="false" outlineLevel="0" collapsed="false">
      <c r="A459" s="7" t="s">
        <v>570</v>
      </c>
      <c r="B459" s="7" t="s">
        <v>63</v>
      </c>
      <c r="C459" s="7" t="n">
        <v>63555.7</v>
      </c>
      <c r="D459" s="7" t="n">
        <v>63511.9</v>
      </c>
      <c r="E459" s="7" t="n">
        <v>0.0006896345409284</v>
      </c>
      <c r="F459" s="7" t="s">
        <v>450</v>
      </c>
      <c r="G459" s="7" t="s">
        <v>451</v>
      </c>
      <c r="H459" s="7" t="s">
        <v>450</v>
      </c>
      <c r="I459" s="32" t="b">
        <f aca="false">FALSE()</f>
        <v>0</v>
      </c>
      <c r="J459" s="32" t="b">
        <f aca="false">FALSE()</f>
        <v>0</v>
      </c>
      <c r="K459" s="32" t="b">
        <f aca="false">FALSE()</f>
        <v>0</v>
      </c>
      <c r="L459" s="7" t="s">
        <v>445</v>
      </c>
      <c r="M459" s="7" t="s">
        <v>452</v>
      </c>
      <c r="N459" s="7" t="s">
        <v>453</v>
      </c>
      <c r="O459" s="7"/>
      <c r="P459" s="7"/>
      <c r="Q459" s="7"/>
      <c r="R459" s="7"/>
    </row>
    <row r="460" customFormat="false" ht="15" hidden="false" customHeight="false" outlineLevel="0" collapsed="false">
      <c r="A460" s="7" t="s">
        <v>570</v>
      </c>
      <c r="B460" s="7" t="s">
        <v>64</v>
      </c>
      <c r="C460" s="7" t="n">
        <v>63776</v>
      </c>
      <c r="D460" s="7" t="n">
        <v>63451.8</v>
      </c>
      <c r="E460" s="7" t="n">
        <v>0.0051093901197443</v>
      </c>
      <c r="F460" s="7" t="s">
        <v>450</v>
      </c>
      <c r="G460" s="7" t="s">
        <v>451</v>
      </c>
      <c r="H460" s="7" t="s">
        <v>450</v>
      </c>
      <c r="I460" s="32" t="b">
        <f aca="false">FALSE()</f>
        <v>0</v>
      </c>
      <c r="J460" s="32" t="b">
        <f aca="false">FALSE()</f>
        <v>0</v>
      </c>
      <c r="K460" s="32" t="b">
        <f aca="false">FALSE()</f>
        <v>0</v>
      </c>
      <c r="L460" s="7" t="s">
        <v>445</v>
      </c>
      <c r="M460" s="7" t="s">
        <v>452</v>
      </c>
      <c r="N460" s="7" t="s">
        <v>453</v>
      </c>
      <c r="O460" s="7"/>
      <c r="P460" s="7"/>
      <c r="Q460" s="7"/>
      <c r="R460" s="7"/>
    </row>
    <row r="461" customFormat="false" ht="15" hidden="false" customHeight="false" outlineLevel="0" collapsed="false">
      <c r="A461" s="7" t="s">
        <v>383</v>
      </c>
      <c r="B461" s="7" t="s">
        <v>63</v>
      </c>
      <c r="C461" s="7" t="n">
        <v>64254.3</v>
      </c>
      <c r="D461" s="7" t="n">
        <v>64210</v>
      </c>
      <c r="E461" s="7" t="n">
        <v>0.0006899236878991</v>
      </c>
      <c r="F461" s="7" t="s">
        <v>59</v>
      </c>
      <c r="G461" s="7" t="s">
        <v>444</v>
      </c>
      <c r="H461" s="7" t="s">
        <v>67</v>
      </c>
      <c r="I461" s="32" t="b">
        <f aca="false">TRUE()</f>
        <v>1</v>
      </c>
      <c r="J461" s="32" t="b">
        <f aca="false">FALSE()</f>
        <v>0</v>
      </c>
      <c r="K461" s="32" t="b">
        <f aca="false">FALSE()</f>
        <v>0</v>
      </c>
      <c r="L461" s="7" t="s">
        <v>445</v>
      </c>
      <c r="M461" s="7" t="s">
        <v>446</v>
      </c>
      <c r="N461" s="7" t="s">
        <v>571</v>
      </c>
      <c r="O461" s="7" t="n">
        <v>64157.97</v>
      </c>
      <c r="P461" s="7" t="n">
        <v>64306.32</v>
      </c>
      <c r="Q461" s="7" t="n">
        <v>-12.25</v>
      </c>
      <c r="R461" s="7" t="s">
        <v>69</v>
      </c>
    </row>
    <row r="462" customFormat="false" ht="15" hidden="false" customHeight="false" outlineLevel="0" collapsed="false">
      <c r="A462" s="7" t="s">
        <v>383</v>
      </c>
      <c r="B462" s="7" t="s">
        <v>64</v>
      </c>
      <c r="C462" s="7" t="n">
        <v>64222.5</v>
      </c>
      <c r="D462" s="7" t="n">
        <v>63979.2</v>
      </c>
      <c r="E462" s="7" t="n">
        <v>0.0038027984094831</v>
      </c>
      <c r="F462" s="7" t="s">
        <v>450</v>
      </c>
      <c r="G462" s="7" t="s">
        <v>451</v>
      </c>
      <c r="H462" s="7" t="s">
        <v>450</v>
      </c>
      <c r="I462" s="32" t="b">
        <f aca="false">FALSE()</f>
        <v>0</v>
      </c>
      <c r="J462" s="32" t="b">
        <f aca="false">FALSE()</f>
        <v>0</v>
      </c>
      <c r="K462" s="32" t="b">
        <f aca="false">FALSE()</f>
        <v>0</v>
      </c>
      <c r="L462" s="7" t="s">
        <v>445</v>
      </c>
      <c r="M462" s="7" t="s">
        <v>452</v>
      </c>
      <c r="N462" s="7" t="s">
        <v>458</v>
      </c>
      <c r="O462" s="7"/>
      <c r="P462" s="7"/>
      <c r="Q462" s="7"/>
      <c r="R462" s="7"/>
    </row>
    <row r="463" customFormat="false" ht="15" hidden="false" customHeight="false" outlineLevel="0" collapsed="false">
      <c r="A463" s="7" t="s">
        <v>572</v>
      </c>
      <c r="B463" s="7" t="s">
        <v>63</v>
      </c>
      <c r="C463" s="7" t="n">
        <v>64377.5</v>
      </c>
      <c r="D463" s="7" t="n">
        <v>64306.9</v>
      </c>
      <c r="E463" s="7" t="n">
        <v>0.0010978604162228</v>
      </c>
      <c r="F463" s="7" t="s">
        <v>450</v>
      </c>
      <c r="G463" s="7" t="s">
        <v>451</v>
      </c>
      <c r="H463" s="7" t="s">
        <v>450</v>
      </c>
      <c r="I463" s="32" t="b">
        <f aca="false">FALSE()</f>
        <v>0</v>
      </c>
      <c r="J463" s="32" t="b">
        <f aca="false">FALSE()</f>
        <v>0</v>
      </c>
      <c r="K463" s="32" t="b">
        <f aca="false">FALSE()</f>
        <v>0</v>
      </c>
      <c r="L463" s="7" t="s">
        <v>445</v>
      </c>
      <c r="M463" s="7" t="s">
        <v>452</v>
      </c>
      <c r="N463" s="7" t="s">
        <v>458</v>
      </c>
      <c r="O463" s="7"/>
      <c r="P463" s="7"/>
      <c r="Q463" s="7"/>
      <c r="R463" s="7"/>
    </row>
    <row r="464" customFormat="false" ht="15" hidden="false" customHeight="false" outlineLevel="0" collapsed="false">
      <c r="A464" s="7" t="s">
        <v>572</v>
      </c>
      <c r="B464" s="7" t="s">
        <v>64</v>
      </c>
      <c r="C464" s="7" t="n">
        <v>65190</v>
      </c>
      <c r="D464" s="7" t="n">
        <v>64780</v>
      </c>
      <c r="E464" s="7" t="n">
        <v>0.0063291139240506</v>
      </c>
      <c r="F464" s="7" t="s">
        <v>450</v>
      </c>
      <c r="G464" s="7" t="s">
        <v>451</v>
      </c>
      <c r="H464" s="7" t="s">
        <v>450</v>
      </c>
      <c r="I464" s="32" t="b">
        <f aca="false">FALSE()</f>
        <v>0</v>
      </c>
      <c r="J464" s="32" t="b">
        <f aca="false">FALSE()</f>
        <v>0</v>
      </c>
      <c r="K464" s="32" t="b">
        <f aca="false">FALSE()</f>
        <v>0</v>
      </c>
      <c r="L464" s="7" t="s">
        <v>445</v>
      </c>
      <c r="M464" s="7" t="s">
        <v>452</v>
      </c>
      <c r="N464" s="7" t="s">
        <v>458</v>
      </c>
      <c r="O464" s="7"/>
      <c r="P464" s="7"/>
      <c r="Q464" s="7"/>
      <c r="R464" s="7"/>
    </row>
    <row r="465" customFormat="false" ht="15" hidden="false" customHeight="false" outlineLevel="0" collapsed="false">
      <c r="A465" s="7" t="s">
        <v>384</v>
      </c>
      <c r="B465" s="7" t="s">
        <v>63</v>
      </c>
      <c r="C465" s="7" t="n">
        <v>69660.1</v>
      </c>
      <c r="D465" s="7" t="n">
        <v>69482</v>
      </c>
      <c r="E465" s="7" t="n">
        <v>0.0025632537923491</v>
      </c>
      <c r="F465" s="7" t="s">
        <v>59</v>
      </c>
      <c r="G465" s="7" t="s">
        <v>444</v>
      </c>
      <c r="H465" s="7" t="s">
        <v>66</v>
      </c>
      <c r="I465" s="32" t="b">
        <f aca="false">TRUE()</f>
        <v>1</v>
      </c>
      <c r="J465" s="32" t="b">
        <f aca="false">FALSE()</f>
        <v>0</v>
      </c>
      <c r="K465" s="32" t="b">
        <f aca="false">FALSE()</f>
        <v>0</v>
      </c>
      <c r="L465" s="7" t="s">
        <v>445</v>
      </c>
      <c r="M465" s="7" t="s">
        <v>446</v>
      </c>
      <c r="N465" s="7" t="s">
        <v>573</v>
      </c>
      <c r="O465" s="7" t="n">
        <v>69829.86</v>
      </c>
      <c r="P465" s="7" t="n">
        <v>69555.61</v>
      </c>
      <c r="Q465" s="7" t="n">
        <v>250.39</v>
      </c>
      <c r="R465" s="7" t="s">
        <v>69</v>
      </c>
    </row>
    <row r="466" customFormat="false" ht="15" hidden="false" customHeight="false" outlineLevel="0" collapsed="false">
      <c r="A466" s="7" t="s">
        <v>384</v>
      </c>
      <c r="B466" s="7" t="s">
        <v>64</v>
      </c>
      <c r="C466" s="7" t="n">
        <v>71934.3</v>
      </c>
      <c r="D466" s="7" t="n">
        <v>71100</v>
      </c>
      <c r="E466" s="7" t="n">
        <v>0.0117341772151899</v>
      </c>
      <c r="F466" s="7" t="s">
        <v>450</v>
      </c>
      <c r="G466" s="7" t="s">
        <v>451</v>
      </c>
      <c r="H466" s="7" t="s">
        <v>450</v>
      </c>
      <c r="I466" s="32" t="b">
        <f aca="false">FALSE()</f>
        <v>0</v>
      </c>
      <c r="J466" s="32" t="b">
        <f aca="false">FALSE()</f>
        <v>0</v>
      </c>
      <c r="K466" s="32" t="b">
        <f aca="false">FALSE()</f>
        <v>0</v>
      </c>
      <c r="L466" s="7" t="s">
        <v>445</v>
      </c>
      <c r="M466" s="7" t="s">
        <v>452</v>
      </c>
      <c r="N466" s="7" t="s">
        <v>453</v>
      </c>
      <c r="O466" s="7"/>
      <c r="P466" s="7"/>
      <c r="Q466" s="7"/>
      <c r="R466" s="7"/>
    </row>
    <row r="467" customFormat="false" ht="15" hidden="false" customHeight="false" outlineLevel="0" collapsed="false">
      <c r="A467" s="7" t="s">
        <v>385</v>
      </c>
      <c r="B467" s="7" t="s">
        <v>63</v>
      </c>
      <c r="C467" s="7" t="n">
        <v>76779.7</v>
      </c>
      <c r="D467" s="7" t="n">
        <v>76257</v>
      </c>
      <c r="E467" s="7" t="n">
        <v>0.006854452705981</v>
      </c>
      <c r="F467" s="7" t="s">
        <v>450</v>
      </c>
      <c r="G467" s="7" t="s">
        <v>451</v>
      </c>
      <c r="H467" s="7" t="s">
        <v>450</v>
      </c>
      <c r="I467" s="32" t="b">
        <f aca="false">FALSE()</f>
        <v>0</v>
      </c>
      <c r="J467" s="32" t="b">
        <f aca="false">FALSE()</f>
        <v>0</v>
      </c>
      <c r="K467" s="32" t="b">
        <f aca="false">FALSE()</f>
        <v>0</v>
      </c>
      <c r="L467" s="7" t="s">
        <v>445</v>
      </c>
      <c r="M467" s="7" t="s">
        <v>452</v>
      </c>
      <c r="N467" s="7" t="s">
        <v>453</v>
      </c>
      <c r="O467" s="7"/>
      <c r="P467" s="7"/>
      <c r="Q467" s="7"/>
      <c r="R467" s="7"/>
    </row>
    <row r="468" customFormat="false" ht="15" hidden="false" customHeight="false" outlineLevel="0" collapsed="false">
      <c r="A468" s="7" t="s">
        <v>385</v>
      </c>
      <c r="B468" s="7" t="s">
        <v>64</v>
      </c>
      <c r="C468" s="7" t="n">
        <v>77333</v>
      </c>
      <c r="D468" s="7" t="n">
        <v>76237</v>
      </c>
      <c r="E468" s="7" t="n">
        <v>0.0143762215197345</v>
      </c>
      <c r="F468" s="7" t="s">
        <v>60</v>
      </c>
      <c r="G468" s="7" t="s">
        <v>448</v>
      </c>
      <c r="H468" s="7" t="s">
        <v>67</v>
      </c>
      <c r="I468" s="32" t="b">
        <f aca="false">FALSE()</f>
        <v>0</v>
      </c>
      <c r="J468" s="32" t="b">
        <f aca="false">TRUE()</f>
        <v>1</v>
      </c>
      <c r="K468" s="32" t="b">
        <f aca="false">FALSE()</f>
        <v>0</v>
      </c>
      <c r="L468" s="7" t="s">
        <v>445</v>
      </c>
      <c r="M468" s="7" t="s">
        <v>446</v>
      </c>
      <c r="N468" s="7" t="s">
        <v>449</v>
      </c>
      <c r="O468" s="7" t="n">
        <v>77228.95</v>
      </c>
      <c r="P468" s="7" t="n">
        <v>77681</v>
      </c>
      <c r="Q468" s="7" t="n">
        <v>39.49</v>
      </c>
      <c r="R468" s="7" t="s">
        <v>69</v>
      </c>
    </row>
    <row r="469" customFormat="false" ht="15" hidden="false" customHeight="false" outlineLevel="0" collapsed="false">
      <c r="A469" s="7" t="s">
        <v>386</v>
      </c>
      <c r="B469" s="7" t="s">
        <v>63</v>
      </c>
      <c r="C469" s="7" t="n">
        <v>77497</v>
      </c>
      <c r="D469" s="7" t="n">
        <v>77285.6</v>
      </c>
      <c r="E469" s="7" t="n">
        <v>0.002735309035577</v>
      </c>
      <c r="F469" s="7" t="s">
        <v>60</v>
      </c>
      <c r="G469" s="7" t="s">
        <v>459</v>
      </c>
      <c r="H469" s="7" t="s">
        <v>66</v>
      </c>
      <c r="I469" s="32" t="b">
        <f aca="false">FALSE()</f>
        <v>0</v>
      </c>
      <c r="J469" s="32" t="b">
        <f aca="false">TRUE()</f>
        <v>1</v>
      </c>
      <c r="K469" s="32" t="b">
        <f aca="false">FALSE()</f>
        <v>0</v>
      </c>
      <c r="L469" s="7" t="s">
        <v>445</v>
      </c>
      <c r="M469" s="7" t="s">
        <v>446</v>
      </c>
      <c r="N469" s="7" t="s">
        <v>510</v>
      </c>
      <c r="O469" s="7" t="n">
        <v>77429.48</v>
      </c>
      <c r="P469" s="7" t="n">
        <v>76937.81</v>
      </c>
      <c r="Q469" s="7" t="n">
        <v>-105.58</v>
      </c>
      <c r="R469" s="7" t="s">
        <v>70</v>
      </c>
    </row>
    <row r="470" customFormat="false" ht="15" hidden="false" customHeight="false" outlineLevel="0" collapsed="false">
      <c r="A470" s="7" t="s">
        <v>386</v>
      </c>
      <c r="B470" s="7" t="s">
        <v>64</v>
      </c>
      <c r="C470" s="7" t="n">
        <v>77206.7</v>
      </c>
      <c r="D470" s="7" t="n">
        <v>77104.7</v>
      </c>
      <c r="E470" s="7" t="n">
        <v>0.0013228765561632</v>
      </c>
      <c r="F470" s="7" t="s">
        <v>450</v>
      </c>
      <c r="G470" s="7" t="s">
        <v>451</v>
      </c>
      <c r="H470" s="7" t="s">
        <v>450</v>
      </c>
      <c r="I470" s="32" t="b">
        <f aca="false">FALSE()</f>
        <v>0</v>
      </c>
      <c r="J470" s="32" t="b">
        <f aca="false">FALSE()</f>
        <v>0</v>
      </c>
      <c r="K470" s="32" t="b">
        <f aca="false">FALSE()</f>
        <v>0</v>
      </c>
      <c r="L470" s="7" t="s">
        <v>445</v>
      </c>
      <c r="M470" s="7" t="s">
        <v>452</v>
      </c>
      <c r="N470" s="7" t="s">
        <v>453</v>
      </c>
      <c r="O470" s="7"/>
      <c r="P470" s="7"/>
      <c r="Q470" s="7"/>
      <c r="R470" s="7"/>
    </row>
    <row r="471" customFormat="false" ht="15" hidden="false" customHeight="false" outlineLevel="0" collapsed="false">
      <c r="A471" s="7" t="s">
        <v>387</v>
      </c>
      <c r="B471" s="7" t="s">
        <v>63</v>
      </c>
      <c r="C471" s="7" t="n">
        <v>76241.7</v>
      </c>
      <c r="D471" s="7" t="n">
        <v>76056.4</v>
      </c>
      <c r="E471" s="7" t="n">
        <v>0.0024363498666779</v>
      </c>
      <c r="F471" s="7" t="s">
        <v>450</v>
      </c>
      <c r="G471" s="7" t="s">
        <v>451</v>
      </c>
      <c r="H471" s="7" t="s">
        <v>450</v>
      </c>
      <c r="I471" s="32" t="b">
        <f aca="false">FALSE()</f>
        <v>0</v>
      </c>
      <c r="J471" s="32" t="b">
        <f aca="false">FALSE()</f>
        <v>0</v>
      </c>
      <c r="K471" s="32" t="b">
        <f aca="false">FALSE()</f>
        <v>0</v>
      </c>
      <c r="L471" s="7" t="s">
        <v>445</v>
      </c>
      <c r="M471" s="7" t="s">
        <v>452</v>
      </c>
      <c r="N471" s="7" t="s">
        <v>453</v>
      </c>
      <c r="O471" s="7"/>
      <c r="P471" s="7"/>
      <c r="Q471" s="7"/>
      <c r="R471" s="7"/>
    </row>
    <row r="472" customFormat="false" ht="15" hidden="false" customHeight="false" outlineLevel="0" collapsed="false">
      <c r="A472" s="7" t="s">
        <v>387</v>
      </c>
      <c r="B472" s="7" t="s">
        <v>64</v>
      </c>
      <c r="C472" s="7" t="n">
        <v>77612.9</v>
      </c>
      <c r="D472" s="7" t="n">
        <v>77333</v>
      </c>
      <c r="E472" s="7" t="n">
        <v>0.0036194121526385</v>
      </c>
      <c r="F472" s="7" t="s">
        <v>60</v>
      </c>
      <c r="G472" s="7" t="s">
        <v>459</v>
      </c>
      <c r="H472" s="7" t="s">
        <v>66</v>
      </c>
      <c r="I472" s="32" t="b">
        <f aca="false">FALSE()</f>
        <v>0</v>
      </c>
      <c r="J472" s="32" t="b">
        <f aca="false">TRUE()</f>
        <v>1</v>
      </c>
      <c r="K472" s="32" t="b">
        <f aca="false">FALSE()</f>
        <v>0</v>
      </c>
      <c r="L472" s="7" t="s">
        <v>445</v>
      </c>
      <c r="M472" s="7" t="s">
        <v>446</v>
      </c>
      <c r="N472" s="7" t="s">
        <v>460</v>
      </c>
      <c r="O472" s="7" t="n">
        <v>77487.19</v>
      </c>
      <c r="P472" s="7" t="n">
        <v>76985</v>
      </c>
      <c r="Q472" s="7" t="n">
        <v>-107.27</v>
      </c>
      <c r="R472" s="7" t="s">
        <v>70</v>
      </c>
    </row>
    <row r="473" customFormat="false" ht="15" hidden="false" customHeight="false" outlineLevel="0" collapsed="false">
      <c r="A473" s="7" t="s">
        <v>388</v>
      </c>
      <c r="B473" s="7" t="s">
        <v>63</v>
      </c>
      <c r="C473" s="7" t="n">
        <v>77587.8</v>
      </c>
      <c r="D473" s="7" t="n">
        <v>77334.7</v>
      </c>
      <c r="E473" s="7" t="n">
        <v>0.0032727869895403</v>
      </c>
      <c r="F473" s="7" t="s">
        <v>450</v>
      </c>
      <c r="G473" s="7" t="s">
        <v>451</v>
      </c>
      <c r="H473" s="7" t="s">
        <v>450</v>
      </c>
      <c r="I473" s="32" t="b">
        <f aca="false">FALSE()</f>
        <v>0</v>
      </c>
      <c r="J473" s="32" t="b">
        <f aca="false">FALSE()</f>
        <v>0</v>
      </c>
      <c r="K473" s="32" t="b">
        <f aca="false">FALSE()</f>
        <v>0</v>
      </c>
      <c r="L473" s="7" t="s">
        <v>445</v>
      </c>
      <c r="M473" s="7" t="s">
        <v>452</v>
      </c>
      <c r="N473" s="7" t="s">
        <v>453</v>
      </c>
      <c r="O473" s="7"/>
      <c r="P473" s="7"/>
      <c r="Q473" s="7"/>
      <c r="R473" s="7"/>
    </row>
    <row r="474" customFormat="false" ht="15" hidden="false" customHeight="false" outlineLevel="0" collapsed="false">
      <c r="A474" s="7" t="s">
        <v>388</v>
      </c>
      <c r="B474" s="7" t="s">
        <v>64</v>
      </c>
      <c r="C474" s="7" t="n">
        <v>79011.5</v>
      </c>
      <c r="D474" s="7" t="n">
        <v>78135.7</v>
      </c>
      <c r="E474" s="7" t="n">
        <v>0.0112087048557829</v>
      </c>
      <c r="F474" s="7" t="s">
        <v>60</v>
      </c>
      <c r="G474" s="7" t="s">
        <v>459</v>
      </c>
      <c r="H474" s="7" t="s">
        <v>66</v>
      </c>
      <c r="I474" s="32" t="b">
        <f aca="false">FALSE()</f>
        <v>0</v>
      </c>
      <c r="J474" s="32" t="b">
        <f aca="false">TRUE()</f>
        <v>1</v>
      </c>
      <c r="K474" s="32" t="b">
        <f aca="false">FALSE()</f>
        <v>0</v>
      </c>
      <c r="L474" s="7" t="s">
        <v>445</v>
      </c>
      <c r="M474" s="7" t="s">
        <v>446</v>
      </c>
      <c r="N474" s="7" t="s">
        <v>465</v>
      </c>
      <c r="O474" s="7" t="n">
        <v>78581.01</v>
      </c>
      <c r="P474" s="7" t="n">
        <v>77784.09</v>
      </c>
      <c r="Q474" s="7" t="n">
        <v>29.75</v>
      </c>
      <c r="R474" s="7" t="s">
        <v>69</v>
      </c>
    </row>
    <row r="475" customFormat="false" ht="15" hidden="false" customHeight="false" outlineLevel="0" collapsed="false">
      <c r="A475" s="7" t="s">
        <v>389</v>
      </c>
      <c r="B475" s="7" t="s">
        <v>63</v>
      </c>
      <c r="C475" s="7" t="n">
        <v>80676.7</v>
      </c>
      <c r="D475" s="7" t="n">
        <v>80459.1</v>
      </c>
      <c r="E475" s="7" t="n">
        <v>0.0027044796673091</v>
      </c>
      <c r="F475" s="7" t="s">
        <v>59</v>
      </c>
      <c r="G475" s="7" t="s">
        <v>444</v>
      </c>
      <c r="H475" s="7" t="s">
        <v>67</v>
      </c>
      <c r="I475" s="32" t="b">
        <f aca="false">TRUE()</f>
        <v>1</v>
      </c>
      <c r="J475" s="32" t="b">
        <f aca="false">FALSE()</f>
        <v>0</v>
      </c>
      <c r="K475" s="32" t="b">
        <f aca="false">FALSE()</f>
        <v>0</v>
      </c>
      <c r="L475" s="7" t="s">
        <v>445</v>
      </c>
      <c r="M475" s="7" t="s">
        <v>446</v>
      </c>
      <c r="N475" s="7" t="s">
        <v>574</v>
      </c>
      <c r="O475" s="7" t="n">
        <v>79645.67</v>
      </c>
      <c r="P475" s="7" t="n">
        <v>80579.79</v>
      </c>
      <c r="Q475" s="7" t="n">
        <v>41.65</v>
      </c>
      <c r="R475" s="7" t="s">
        <v>69</v>
      </c>
    </row>
    <row r="476" customFormat="false" ht="15" hidden="false" customHeight="false" outlineLevel="0" collapsed="false">
      <c r="A476" s="7" t="s">
        <v>389</v>
      </c>
      <c r="B476" s="7" t="s">
        <v>64</v>
      </c>
      <c r="C476" s="7" t="n">
        <v>79194.9</v>
      </c>
      <c r="D476" s="7" t="n">
        <v>78570.3</v>
      </c>
      <c r="E476" s="7" t="n">
        <v>0.0079495687301689</v>
      </c>
      <c r="F476" s="7" t="s">
        <v>60</v>
      </c>
      <c r="G476" s="7" t="s">
        <v>459</v>
      </c>
      <c r="H476" s="7" t="s">
        <v>66</v>
      </c>
      <c r="I476" s="32" t="b">
        <f aca="false">FALSE()</f>
        <v>0</v>
      </c>
      <c r="J476" s="32" t="b">
        <f aca="false">TRUE()</f>
        <v>1</v>
      </c>
      <c r="K476" s="32" t="b">
        <f aca="false">FALSE()</f>
        <v>0</v>
      </c>
      <c r="L476" s="7" t="s">
        <v>445</v>
      </c>
      <c r="M476" s="7" t="s">
        <v>446</v>
      </c>
      <c r="N476" s="7" t="s">
        <v>467</v>
      </c>
      <c r="O476" s="7" t="n">
        <v>78643.43</v>
      </c>
      <c r="P476" s="7" t="n">
        <v>78216.73</v>
      </c>
      <c r="Q476" s="7" t="n">
        <v>24.33</v>
      </c>
      <c r="R476" s="7" t="s">
        <v>69</v>
      </c>
    </row>
    <row r="477" customFormat="false" ht="15" hidden="false" customHeight="false" outlineLevel="0" collapsed="false">
      <c r="A477" s="7" t="s">
        <v>390</v>
      </c>
      <c r="B477" s="7" t="s">
        <v>63</v>
      </c>
      <c r="C477" s="7" t="n">
        <v>79017.9</v>
      </c>
      <c r="D477" s="7" t="n">
        <v>78848.8</v>
      </c>
      <c r="E477" s="7" t="n">
        <v>0.0021446109515933</v>
      </c>
      <c r="F477" s="7" t="s">
        <v>60</v>
      </c>
      <c r="G477" s="7" t="s">
        <v>448</v>
      </c>
      <c r="H477" s="7" t="s">
        <v>67</v>
      </c>
      <c r="I477" s="32" t="b">
        <f aca="false">FALSE()</f>
        <v>0</v>
      </c>
      <c r="J477" s="32" t="b">
        <f aca="false">TRUE()</f>
        <v>1</v>
      </c>
      <c r="K477" s="32" t="b">
        <f aca="false">FALSE()</f>
        <v>0</v>
      </c>
      <c r="L477" s="7" t="s">
        <v>445</v>
      </c>
      <c r="M477" s="7" t="s">
        <v>446</v>
      </c>
      <c r="N477" s="7" t="s">
        <v>472</v>
      </c>
      <c r="O477" s="7" t="n">
        <v>78871.32</v>
      </c>
      <c r="P477" s="7" t="n">
        <v>79373.48</v>
      </c>
      <c r="Q477" s="7" t="n">
        <v>18.24</v>
      </c>
      <c r="R477" s="7" t="s">
        <v>69</v>
      </c>
    </row>
    <row r="478" customFormat="false" ht="15" hidden="false" customHeight="false" outlineLevel="0" collapsed="false">
      <c r="A478" s="7" t="s">
        <v>390</v>
      </c>
      <c r="B478" s="7" t="s">
        <v>64</v>
      </c>
      <c r="C478" s="7" t="n">
        <v>78463.8</v>
      </c>
      <c r="D478" s="7" t="n">
        <v>78011.5</v>
      </c>
      <c r="E478" s="7" t="n">
        <v>0.0057978631355633</v>
      </c>
      <c r="F478" s="7" t="s">
        <v>60</v>
      </c>
      <c r="G478" s="7" t="s">
        <v>448</v>
      </c>
      <c r="H478" s="7" t="s">
        <v>67</v>
      </c>
      <c r="I478" s="32" t="b">
        <f aca="false">FALSE()</f>
        <v>0</v>
      </c>
      <c r="J478" s="32" t="b">
        <f aca="false">TRUE()</f>
        <v>1</v>
      </c>
      <c r="K478" s="32" t="b">
        <f aca="false">FALSE()</f>
        <v>0</v>
      </c>
      <c r="L478" s="7" t="s">
        <v>445</v>
      </c>
      <c r="M478" s="7" t="s">
        <v>446</v>
      </c>
      <c r="N478" s="7" t="s">
        <v>449</v>
      </c>
      <c r="O478" s="7" t="n">
        <v>78391.22</v>
      </c>
      <c r="P478" s="7" t="n">
        <v>78816.89</v>
      </c>
      <c r="Q478" s="7" t="n">
        <v>33.48</v>
      </c>
      <c r="R478" s="7" t="s">
        <v>69</v>
      </c>
    </row>
    <row r="479" customFormat="false" ht="15" hidden="false" customHeight="false" outlineLevel="0" collapsed="false">
      <c r="A479" s="7" t="s">
        <v>391</v>
      </c>
      <c r="B479" s="7" t="s">
        <v>63</v>
      </c>
      <c r="C479" s="7" t="n">
        <v>78850</v>
      </c>
      <c r="D479" s="7" t="n">
        <v>78759.9</v>
      </c>
      <c r="E479" s="7" t="n">
        <v>0.0011439831691</v>
      </c>
      <c r="F479" s="7" t="s">
        <v>59</v>
      </c>
      <c r="G479" s="7" t="s">
        <v>444</v>
      </c>
      <c r="H479" s="7" t="s">
        <v>66</v>
      </c>
      <c r="I479" s="32" t="b">
        <f aca="false">TRUE()</f>
        <v>1</v>
      </c>
      <c r="J479" s="32" t="b">
        <f aca="false">FALSE()</f>
        <v>0</v>
      </c>
      <c r="K479" s="32" t="b">
        <f aca="false">FALSE()</f>
        <v>0</v>
      </c>
      <c r="L479" s="7" t="s">
        <v>445</v>
      </c>
      <c r="M479" s="7" t="s">
        <v>446</v>
      </c>
      <c r="N479" s="7" t="s">
        <v>575</v>
      </c>
      <c r="O479" s="7" t="n">
        <v>79070.11</v>
      </c>
      <c r="P479" s="7" t="n">
        <v>78731.73</v>
      </c>
      <c r="Q479" s="7" t="n">
        <v>106.47</v>
      </c>
      <c r="R479" s="7" t="s">
        <v>69</v>
      </c>
    </row>
    <row r="480" customFormat="false" ht="15" hidden="false" customHeight="false" outlineLevel="0" collapsed="false">
      <c r="A480" s="7" t="s">
        <v>391</v>
      </c>
      <c r="B480" s="7" t="s">
        <v>64</v>
      </c>
      <c r="C480" s="7" t="n">
        <v>79330.1</v>
      </c>
      <c r="D480" s="7" t="n">
        <v>79070.8</v>
      </c>
      <c r="E480" s="7" t="n">
        <v>0.003279339528625</v>
      </c>
      <c r="F480" s="7" t="s">
        <v>450</v>
      </c>
      <c r="G480" s="7" t="s">
        <v>451</v>
      </c>
      <c r="H480" s="7" t="s">
        <v>450</v>
      </c>
      <c r="I480" s="32" t="b">
        <f aca="false">FALSE()</f>
        <v>0</v>
      </c>
      <c r="J480" s="32" t="b">
        <f aca="false">FALSE()</f>
        <v>0</v>
      </c>
      <c r="K480" s="32" t="b">
        <f aca="false">FALSE()</f>
        <v>0</v>
      </c>
      <c r="L480" s="7" t="s">
        <v>445</v>
      </c>
      <c r="M480" s="7" t="s">
        <v>452</v>
      </c>
      <c r="N480" s="7" t="s">
        <v>453</v>
      </c>
      <c r="O480" s="7"/>
      <c r="P480" s="7"/>
      <c r="Q480" s="7"/>
      <c r="R480" s="7"/>
    </row>
    <row r="481" customFormat="false" ht="15" hidden="false" customHeight="false" outlineLevel="0" collapsed="false">
      <c r="A481" s="7" t="s">
        <v>392</v>
      </c>
      <c r="B481" s="7" t="s">
        <v>63</v>
      </c>
      <c r="C481" s="7" t="n">
        <v>79783.2</v>
      </c>
      <c r="D481" s="7" t="n">
        <v>79538.9</v>
      </c>
      <c r="E481" s="7" t="n">
        <v>0.0030714530877344</v>
      </c>
      <c r="F481" s="7" t="s">
        <v>60</v>
      </c>
      <c r="G481" s="7" t="s">
        <v>448</v>
      </c>
      <c r="H481" s="7" t="s">
        <v>67</v>
      </c>
      <c r="I481" s="32" t="b">
        <f aca="false">FALSE()</f>
        <v>0</v>
      </c>
      <c r="J481" s="32" t="b">
        <f aca="false">TRUE()</f>
        <v>1</v>
      </c>
      <c r="K481" s="32" t="b">
        <f aca="false">FALSE()</f>
        <v>0</v>
      </c>
      <c r="L481" s="7" t="s">
        <v>445</v>
      </c>
      <c r="M481" s="7" t="s">
        <v>446</v>
      </c>
      <c r="N481" s="7" t="s">
        <v>576</v>
      </c>
      <c r="O481" s="7" t="n">
        <v>79666.66</v>
      </c>
      <c r="P481" s="7" t="n">
        <v>80142.22</v>
      </c>
      <c r="Q481" s="7" t="n">
        <v>33.93</v>
      </c>
      <c r="R481" s="7" t="s">
        <v>69</v>
      </c>
    </row>
    <row r="482" customFormat="false" ht="15" hidden="false" customHeight="false" outlineLevel="0" collapsed="false">
      <c r="A482" s="7" t="s">
        <v>392</v>
      </c>
      <c r="B482" s="7" t="s">
        <v>64</v>
      </c>
      <c r="C482" s="7" t="n">
        <v>79332</v>
      </c>
      <c r="D482" s="7" t="n">
        <v>78980.5</v>
      </c>
      <c r="E482" s="7" t="n">
        <v>0.0044504656212609</v>
      </c>
      <c r="F482" s="7" t="s">
        <v>450</v>
      </c>
      <c r="G482" s="7" t="s">
        <v>451</v>
      </c>
      <c r="H482" s="7" t="s">
        <v>450</v>
      </c>
      <c r="I482" s="32" t="b">
        <f aca="false">FALSE()</f>
        <v>0</v>
      </c>
      <c r="J482" s="32" t="b">
        <f aca="false">FALSE()</f>
        <v>0</v>
      </c>
      <c r="K482" s="32" t="b">
        <f aca="false">FALSE()</f>
        <v>0</v>
      </c>
      <c r="L482" s="7" t="s">
        <v>445</v>
      </c>
      <c r="M482" s="7" t="s">
        <v>452</v>
      </c>
      <c r="N482" s="7" t="s">
        <v>453</v>
      </c>
      <c r="O482" s="7"/>
      <c r="P482" s="7"/>
      <c r="Q482" s="7"/>
      <c r="R482" s="7"/>
    </row>
    <row r="483" customFormat="false" ht="15" hidden="false" customHeight="false" outlineLevel="0" collapsed="false">
      <c r="A483" s="7" t="s">
        <v>393</v>
      </c>
      <c r="B483" s="7" t="s">
        <v>63</v>
      </c>
      <c r="C483" s="7" t="n">
        <v>77630</v>
      </c>
      <c r="D483" s="7" t="n">
        <v>77477.9</v>
      </c>
      <c r="E483" s="7" t="n">
        <v>0.0019631404568271</v>
      </c>
      <c r="F483" s="7" t="s">
        <v>60</v>
      </c>
      <c r="G483" s="7" t="s">
        <v>448</v>
      </c>
      <c r="H483" s="7" t="s">
        <v>67</v>
      </c>
      <c r="I483" s="32" t="b">
        <f aca="false">FALSE()</f>
        <v>0</v>
      </c>
      <c r="J483" s="32" t="b">
        <f aca="false">TRUE()</f>
        <v>1</v>
      </c>
      <c r="K483" s="32" t="b">
        <f aca="false">FALSE()</f>
        <v>0</v>
      </c>
      <c r="L483" s="7" t="s">
        <v>445</v>
      </c>
      <c r="M483" s="7" t="s">
        <v>446</v>
      </c>
      <c r="N483" s="7" t="s">
        <v>472</v>
      </c>
      <c r="O483" s="7" t="n">
        <v>77571.38</v>
      </c>
      <c r="P483" s="7" t="n">
        <v>77979.33</v>
      </c>
      <c r="Q483" s="7" t="n">
        <v>-29.98</v>
      </c>
      <c r="R483" s="7" t="s">
        <v>71</v>
      </c>
    </row>
    <row r="484" customFormat="false" ht="15" hidden="false" customHeight="false" outlineLevel="0" collapsed="false">
      <c r="A484" s="7" t="s">
        <v>393</v>
      </c>
      <c r="B484" s="7" t="s">
        <v>64</v>
      </c>
      <c r="C484" s="7" t="n">
        <v>77686.9</v>
      </c>
      <c r="D484" s="7" t="n">
        <v>77609.1</v>
      </c>
      <c r="E484" s="7" t="n">
        <v>0.0010024597630946</v>
      </c>
      <c r="F484" s="7" t="s">
        <v>60</v>
      </c>
      <c r="G484" s="7" t="s">
        <v>448</v>
      </c>
      <c r="H484" s="7" t="s">
        <v>67</v>
      </c>
      <c r="I484" s="32" t="b">
        <f aca="false">FALSE()</f>
        <v>0</v>
      </c>
      <c r="J484" s="32" t="b">
        <f aca="false">TRUE()</f>
        <v>1</v>
      </c>
      <c r="K484" s="32" t="b">
        <f aca="false">FALSE()</f>
        <v>0</v>
      </c>
      <c r="L484" s="7" t="s">
        <v>445</v>
      </c>
      <c r="M484" s="7" t="s">
        <v>446</v>
      </c>
      <c r="N484" s="7" t="s">
        <v>476</v>
      </c>
      <c r="O484" s="7" t="n">
        <v>77641.27</v>
      </c>
      <c r="P484" s="7" t="n">
        <v>78036.49</v>
      </c>
      <c r="Q484" s="7" t="n">
        <v>-88.52</v>
      </c>
      <c r="R484" s="7" t="s">
        <v>70</v>
      </c>
    </row>
    <row r="485" customFormat="false" ht="15" hidden="false" customHeight="false" outlineLevel="0" collapsed="false">
      <c r="A485" s="7" t="s">
        <v>577</v>
      </c>
      <c r="B485" s="7" t="s">
        <v>63</v>
      </c>
      <c r="C485" s="7" t="n">
        <v>78192</v>
      </c>
      <c r="D485" s="7" t="n">
        <v>78106.8</v>
      </c>
      <c r="E485" s="7" t="n">
        <v>0.0010908141160564</v>
      </c>
      <c r="F485" s="7" t="s">
        <v>450</v>
      </c>
      <c r="G485" s="7" t="s">
        <v>451</v>
      </c>
      <c r="H485" s="7" t="s">
        <v>450</v>
      </c>
      <c r="I485" s="32" t="b">
        <f aca="false">FALSE()</f>
        <v>0</v>
      </c>
      <c r="J485" s="32" t="b">
        <f aca="false">FALSE()</f>
        <v>0</v>
      </c>
      <c r="K485" s="32" t="b">
        <f aca="false">FALSE()</f>
        <v>0</v>
      </c>
      <c r="L485" s="7" t="s">
        <v>445</v>
      </c>
      <c r="M485" s="7" t="s">
        <v>452</v>
      </c>
      <c r="N485" s="7" t="s">
        <v>453</v>
      </c>
      <c r="O485" s="7"/>
      <c r="P485" s="7"/>
      <c r="Q485" s="7"/>
      <c r="R485" s="7"/>
    </row>
    <row r="486" customFormat="false" ht="15" hidden="false" customHeight="false" outlineLevel="0" collapsed="false">
      <c r="A486" s="7" t="s">
        <v>577</v>
      </c>
      <c r="B486" s="7" t="s">
        <v>64</v>
      </c>
      <c r="C486" s="7" t="n">
        <v>78788</v>
      </c>
      <c r="D486" s="7" t="n">
        <v>78638.6</v>
      </c>
      <c r="E486" s="7" t="n">
        <v>0.0018998303632057</v>
      </c>
      <c r="F486" s="7" t="s">
        <v>450</v>
      </c>
      <c r="G486" s="7" t="s">
        <v>451</v>
      </c>
      <c r="H486" s="7" t="s">
        <v>450</v>
      </c>
      <c r="I486" s="32" t="b">
        <f aca="false">FALSE()</f>
        <v>0</v>
      </c>
      <c r="J486" s="32" t="b">
        <f aca="false">FALSE()</f>
        <v>0</v>
      </c>
      <c r="K486" s="32" t="b">
        <f aca="false">FALSE()</f>
        <v>0</v>
      </c>
      <c r="L486" s="7" t="s">
        <v>445</v>
      </c>
      <c r="M486" s="7" t="s">
        <v>452</v>
      </c>
      <c r="N486" s="7" t="s">
        <v>453</v>
      </c>
      <c r="O486" s="7"/>
      <c r="P486" s="7"/>
      <c r="Q486" s="7"/>
      <c r="R486" s="7"/>
    </row>
    <row r="487" customFormat="false" ht="15" hidden="false" customHeight="false" outlineLevel="0" collapsed="false">
      <c r="A487" s="7" t="s">
        <v>394</v>
      </c>
      <c r="B487" s="7" t="s">
        <v>63</v>
      </c>
      <c r="C487" s="7" t="n">
        <v>78262</v>
      </c>
      <c r="D487" s="7" t="n">
        <v>78095.2</v>
      </c>
      <c r="E487" s="7" t="n">
        <v>0.0021358547004169</v>
      </c>
      <c r="F487" s="7" t="s">
        <v>60</v>
      </c>
      <c r="G487" s="7" t="s">
        <v>448</v>
      </c>
      <c r="H487" s="7" t="s">
        <v>67</v>
      </c>
      <c r="I487" s="32" t="b">
        <f aca="false">FALSE()</f>
        <v>0</v>
      </c>
      <c r="J487" s="32" t="b">
        <f aca="false">TRUE()</f>
        <v>1</v>
      </c>
      <c r="K487" s="32" t="b">
        <f aca="false">FALSE()</f>
        <v>0</v>
      </c>
      <c r="L487" s="7" t="s">
        <v>445</v>
      </c>
      <c r="M487" s="7" t="s">
        <v>446</v>
      </c>
      <c r="N487" s="7" t="s">
        <v>454</v>
      </c>
      <c r="O487" s="7" t="n">
        <v>78117.07</v>
      </c>
      <c r="P487" s="7" t="n">
        <v>78614.18</v>
      </c>
      <c r="Q487" s="7" t="n">
        <v>-106.61</v>
      </c>
      <c r="R487" s="7" t="s">
        <v>70</v>
      </c>
    </row>
    <row r="488" customFormat="false" ht="15" hidden="false" customHeight="false" outlineLevel="0" collapsed="false">
      <c r="A488" s="7" t="s">
        <v>394</v>
      </c>
      <c r="B488" s="7" t="s">
        <v>64</v>
      </c>
      <c r="C488" s="7" t="n">
        <v>78256.2</v>
      </c>
      <c r="D488" s="7" t="n">
        <v>77802.7</v>
      </c>
      <c r="E488" s="7" t="n">
        <v>0.005828846556739</v>
      </c>
      <c r="F488" s="7" t="s">
        <v>60</v>
      </c>
      <c r="G488" s="7" t="s">
        <v>459</v>
      </c>
      <c r="H488" s="7" t="s">
        <v>66</v>
      </c>
      <c r="I488" s="32" t="b">
        <f aca="false">FALSE()</f>
        <v>0</v>
      </c>
      <c r="J488" s="32" t="b">
        <f aca="false">TRUE()</f>
        <v>1</v>
      </c>
      <c r="K488" s="32" t="b">
        <f aca="false">FALSE()</f>
        <v>0</v>
      </c>
      <c r="L488" s="7" t="s">
        <v>445</v>
      </c>
      <c r="M488" s="7" t="s">
        <v>446</v>
      </c>
      <c r="N488" s="7" t="s">
        <v>510</v>
      </c>
      <c r="O488" s="7" t="n">
        <v>77879.77</v>
      </c>
      <c r="P488" s="7" t="n">
        <v>77452.59</v>
      </c>
      <c r="Q488" s="7" t="n">
        <v>58.2</v>
      </c>
      <c r="R488" s="7" t="s">
        <v>69</v>
      </c>
    </row>
    <row r="489" customFormat="false" ht="15" hidden="false" customHeight="false" outlineLevel="0" collapsed="false">
      <c r="A489" s="7" t="s">
        <v>578</v>
      </c>
      <c r="B489" s="7" t="s">
        <v>63</v>
      </c>
      <c r="C489" s="7" t="n">
        <v>78758.4</v>
      </c>
      <c r="D489" s="7" t="n">
        <v>78467.6</v>
      </c>
      <c r="E489" s="7" t="n">
        <v>0.0037059882040484</v>
      </c>
      <c r="F489" s="7" t="s">
        <v>450</v>
      </c>
      <c r="G489" s="7" t="s">
        <v>451</v>
      </c>
      <c r="H489" s="7" t="s">
        <v>450</v>
      </c>
      <c r="I489" s="32" t="b">
        <f aca="false">FALSE()</f>
        <v>0</v>
      </c>
      <c r="J489" s="32" t="b">
        <f aca="false">FALSE()</f>
        <v>0</v>
      </c>
      <c r="K489" s="32" t="b">
        <f aca="false">FALSE()</f>
        <v>0</v>
      </c>
      <c r="L489" s="7" t="s">
        <v>445</v>
      </c>
      <c r="M489" s="7" t="s">
        <v>452</v>
      </c>
      <c r="N489" s="7" t="s">
        <v>453</v>
      </c>
      <c r="O489" s="7"/>
      <c r="P489" s="7"/>
      <c r="Q489" s="7"/>
      <c r="R489" s="7"/>
    </row>
    <row r="490" customFormat="false" ht="15" hidden="false" customHeight="false" outlineLevel="0" collapsed="false">
      <c r="A490" s="7" t="s">
        <v>578</v>
      </c>
      <c r="B490" s="7" t="s">
        <v>64</v>
      </c>
      <c r="C490" s="7" t="n">
        <v>77995.6</v>
      </c>
      <c r="D490" s="7" t="n">
        <v>77452</v>
      </c>
      <c r="E490" s="7" t="n">
        <v>0.007018540515416</v>
      </c>
      <c r="F490" s="7" t="s">
        <v>450</v>
      </c>
      <c r="G490" s="7" t="s">
        <v>451</v>
      </c>
      <c r="H490" s="7" t="s">
        <v>450</v>
      </c>
      <c r="I490" s="32" t="b">
        <f aca="false">FALSE()</f>
        <v>0</v>
      </c>
      <c r="J490" s="32" t="b">
        <f aca="false">FALSE()</f>
        <v>0</v>
      </c>
      <c r="K490" s="32" t="b">
        <f aca="false">FALSE()</f>
        <v>0</v>
      </c>
      <c r="L490" s="7" t="s">
        <v>445</v>
      </c>
      <c r="M490" s="7" t="s">
        <v>452</v>
      </c>
      <c r="N490" s="7" t="s">
        <v>453</v>
      </c>
      <c r="O490" s="7"/>
      <c r="P490" s="7"/>
      <c r="Q490" s="7"/>
      <c r="R490" s="7"/>
    </row>
    <row r="491" customFormat="false" ht="15" hidden="false" customHeight="false" outlineLevel="0" collapsed="false">
      <c r="A491" s="7" t="s">
        <v>395</v>
      </c>
      <c r="B491" s="7" t="s">
        <v>63</v>
      </c>
      <c r="C491" s="7" t="n">
        <v>77597.7</v>
      </c>
      <c r="D491" s="7" t="n">
        <v>77520.4</v>
      </c>
      <c r="E491" s="7" t="n">
        <v>0.0009971568774155</v>
      </c>
      <c r="F491" s="7" t="s">
        <v>59</v>
      </c>
      <c r="G491" s="7" t="s">
        <v>444</v>
      </c>
      <c r="H491" s="7" t="s">
        <v>67</v>
      </c>
      <c r="I491" s="32" t="b">
        <f aca="false">TRUE()</f>
        <v>1</v>
      </c>
      <c r="J491" s="32" t="b">
        <f aca="false">FALSE()</f>
        <v>0</v>
      </c>
      <c r="K491" s="32" t="b">
        <f aca="false">FALSE()</f>
        <v>0</v>
      </c>
      <c r="L491" s="7" t="s">
        <v>445</v>
      </c>
      <c r="M491" s="7" t="s">
        <v>446</v>
      </c>
      <c r="N491" s="7" t="s">
        <v>579</v>
      </c>
      <c r="O491" s="7" t="n">
        <v>77429.31</v>
      </c>
      <c r="P491" s="7" t="n">
        <v>77636.68</v>
      </c>
      <c r="Q491" s="7" t="n">
        <v>95.71</v>
      </c>
      <c r="R491" s="7" t="s">
        <v>69</v>
      </c>
    </row>
    <row r="492" customFormat="false" ht="15" hidden="false" customHeight="false" outlineLevel="0" collapsed="false">
      <c r="A492" s="7" t="s">
        <v>395</v>
      </c>
      <c r="B492" s="7" t="s">
        <v>64</v>
      </c>
      <c r="C492" s="7" t="n">
        <v>77376.9</v>
      </c>
      <c r="D492" s="7" t="n">
        <v>76581.2</v>
      </c>
      <c r="E492" s="7" t="n">
        <v>0.0103902785540053</v>
      </c>
      <c r="F492" s="7" t="s">
        <v>60</v>
      </c>
      <c r="G492" s="7" t="s">
        <v>448</v>
      </c>
      <c r="H492" s="7" t="s">
        <v>67</v>
      </c>
      <c r="I492" s="32" t="b">
        <f aca="false">FALSE()</f>
        <v>0</v>
      </c>
      <c r="J492" s="32" t="b">
        <f aca="false">TRUE()</f>
        <v>1</v>
      </c>
      <c r="K492" s="32" t="b">
        <f aca="false">FALSE()</f>
        <v>0</v>
      </c>
      <c r="L492" s="7" t="s">
        <v>445</v>
      </c>
      <c r="M492" s="7" t="s">
        <v>446</v>
      </c>
      <c r="N492" s="7" t="s">
        <v>472</v>
      </c>
      <c r="O492" s="7" t="n">
        <v>77099.58</v>
      </c>
      <c r="P492" s="7" t="n">
        <v>77725.1</v>
      </c>
      <c r="Q492" s="7" t="n">
        <v>11.71</v>
      </c>
      <c r="R492" s="7" t="s">
        <v>69</v>
      </c>
    </row>
    <row r="493" customFormat="false" ht="15" hidden="false" customHeight="false" outlineLevel="0" collapsed="false">
      <c r="A493" s="7" t="s">
        <v>396</v>
      </c>
      <c r="B493" s="7" t="s">
        <v>63</v>
      </c>
      <c r="C493" s="7" t="n">
        <v>78035.8</v>
      </c>
      <c r="D493" s="7" t="n">
        <v>77822.8</v>
      </c>
      <c r="E493" s="7" t="n">
        <v>0.0027369871040363</v>
      </c>
      <c r="F493" s="7" t="s">
        <v>59</v>
      </c>
      <c r="G493" s="7" t="s">
        <v>444</v>
      </c>
      <c r="H493" s="7" t="s">
        <v>67</v>
      </c>
      <c r="I493" s="32" t="b">
        <f aca="false">TRUE()</f>
        <v>1</v>
      </c>
      <c r="J493" s="32" t="b">
        <f aca="false">FALSE()</f>
        <v>0</v>
      </c>
      <c r="K493" s="32" t="b">
        <f aca="false">FALSE()</f>
        <v>0</v>
      </c>
      <c r="L493" s="7" t="s">
        <v>445</v>
      </c>
      <c r="M493" s="7" t="s">
        <v>446</v>
      </c>
      <c r="N493" s="7" t="s">
        <v>580</v>
      </c>
      <c r="O493" s="7" t="n">
        <v>77611.87</v>
      </c>
      <c r="P493" s="7" t="n">
        <v>77939.53</v>
      </c>
      <c r="Q493" s="7" t="n">
        <v>-114.8</v>
      </c>
      <c r="R493" s="7" t="s">
        <v>70</v>
      </c>
    </row>
    <row r="494" customFormat="false" ht="15" hidden="false" customHeight="false" outlineLevel="0" collapsed="false">
      <c r="A494" s="7" t="s">
        <v>396</v>
      </c>
      <c r="B494" s="7" t="s">
        <v>64</v>
      </c>
      <c r="C494" s="7" t="n">
        <v>78899</v>
      </c>
      <c r="D494" s="7" t="n">
        <v>78419.1</v>
      </c>
      <c r="E494" s="7" t="n">
        <v>0.0061196825773312</v>
      </c>
      <c r="F494" s="7" t="s">
        <v>60</v>
      </c>
      <c r="G494" s="7" t="s">
        <v>448</v>
      </c>
      <c r="H494" s="7" t="s">
        <v>67</v>
      </c>
      <c r="I494" s="32" t="b">
        <f aca="false">FALSE()</f>
        <v>0</v>
      </c>
      <c r="J494" s="32" t="b">
        <f aca="false">TRUE()</f>
        <v>1</v>
      </c>
      <c r="K494" s="32" t="b">
        <f aca="false">FALSE()</f>
        <v>0</v>
      </c>
      <c r="L494" s="7" t="s">
        <v>445</v>
      </c>
      <c r="M494" s="7" t="s">
        <v>446</v>
      </c>
      <c r="N494" s="7" t="s">
        <v>472</v>
      </c>
      <c r="O494" s="7" t="n">
        <v>78786.44</v>
      </c>
      <c r="P494" s="7" t="n">
        <v>79254.05</v>
      </c>
      <c r="Q494" s="7" t="n">
        <v>-101.49</v>
      </c>
      <c r="R494" s="7" t="s">
        <v>70</v>
      </c>
    </row>
    <row r="495" customFormat="false" ht="15" hidden="false" customHeight="false" outlineLevel="0" collapsed="false">
      <c r="A495" s="7" t="s">
        <v>397</v>
      </c>
      <c r="B495" s="7" t="s">
        <v>63</v>
      </c>
      <c r="C495" s="7" t="n">
        <v>80879.2</v>
      </c>
      <c r="D495" s="7" t="n">
        <v>80712.6</v>
      </c>
      <c r="E495" s="7" t="n">
        <v>0.0020641139053876</v>
      </c>
      <c r="F495" s="7" t="s">
        <v>59</v>
      </c>
      <c r="G495" s="7" t="s">
        <v>444</v>
      </c>
      <c r="H495" s="7" t="s">
        <v>67</v>
      </c>
      <c r="I495" s="32" t="b">
        <f aca="false">TRUE()</f>
        <v>1</v>
      </c>
      <c r="J495" s="32" t="b">
        <f aca="false">FALSE()</f>
        <v>0</v>
      </c>
      <c r="K495" s="32" t="b">
        <f aca="false">FALSE()</f>
        <v>0</v>
      </c>
      <c r="L495" s="7" t="s">
        <v>445</v>
      </c>
      <c r="M495" s="7" t="s">
        <v>446</v>
      </c>
      <c r="N495" s="7" t="s">
        <v>581</v>
      </c>
      <c r="O495" s="7" t="n">
        <v>80611.87</v>
      </c>
      <c r="P495" s="7" t="n">
        <v>80833.67</v>
      </c>
      <c r="Q495" s="7" t="n">
        <v>-3.44</v>
      </c>
      <c r="R495" s="7" t="s">
        <v>69</v>
      </c>
    </row>
    <row r="496" customFormat="false" ht="15" hidden="false" customHeight="false" outlineLevel="0" collapsed="false">
      <c r="A496" s="7" t="s">
        <v>397</v>
      </c>
      <c r="B496" s="7" t="s">
        <v>64</v>
      </c>
      <c r="C496" s="7" t="n">
        <v>79513.2</v>
      </c>
      <c r="D496" s="7" t="n">
        <v>78913.4</v>
      </c>
      <c r="E496" s="7" t="n">
        <v>0.0076007370104443</v>
      </c>
      <c r="F496" s="7" t="s">
        <v>60</v>
      </c>
      <c r="G496" s="7" t="s">
        <v>448</v>
      </c>
      <c r="H496" s="7" t="s">
        <v>67</v>
      </c>
      <c r="I496" s="32" t="b">
        <f aca="false">FALSE()</f>
        <v>0</v>
      </c>
      <c r="J496" s="32" t="b">
        <f aca="false">TRUE()</f>
        <v>1</v>
      </c>
      <c r="K496" s="32" t="b">
        <f aca="false">FALSE()</f>
        <v>0</v>
      </c>
      <c r="L496" s="7" t="s">
        <v>445</v>
      </c>
      <c r="M496" s="7" t="s">
        <v>446</v>
      </c>
      <c r="N496" s="7" t="s">
        <v>449</v>
      </c>
      <c r="O496" s="7" t="n">
        <v>79326.93</v>
      </c>
      <c r="P496" s="7" t="n">
        <v>79871.01</v>
      </c>
      <c r="Q496" s="7" t="n">
        <v>37.47</v>
      </c>
      <c r="R496" s="7" t="s">
        <v>69</v>
      </c>
    </row>
    <row r="497" customFormat="false" ht="15" hidden="false" customHeight="false" outlineLevel="0" collapsed="false">
      <c r="A497" s="7" t="s">
        <v>398</v>
      </c>
      <c r="B497" s="7" t="s">
        <v>63</v>
      </c>
      <c r="C497" s="7" t="n">
        <v>79708.3</v>
      </c>
      <c r="D497" s="7" t="n">
        <v>79660.6</v>
      </c>
      <c r="E497" s="7" t="n">
        <v>0.0005987903681367</v>
      </c>
      <c r="F497" s="7" t="s">
        <v>60</v>
      </c>
      <c r="G497" s="7" t="s">
        <v>448</v>
      </c>
      <c r="H497" s="7" t="s">
        <v>67</v>
      </c>
      <c r="I497" s="32" t="b">
        <f aca="false">FALSE()</f>
        <v>0</v>
      </c>
      <c r="J497" s="32" t="b">
        <f aca="false">TRUE()</f>
        <v>1</v>
      </c>
      <c r="K497" s="32" t="b">
        <f aca="false">FALSE()</f>
        <v>0</v>
      </c>
      <c r="L497" s="7" t="s">
        <v>445</v>
      </c>
      <c r="M497" s="7" t="s">
        <v>446</v>
      </c>
      <c r="N497" s="7" t="s">
        <v>469</v>
      </c>
      <c r="O497" s="7" t="n">
        <v>79657.07</v>
      </c>
      <c r="P497" s="7" t="n">
        <v>80066.99</v>
      </c>
      <c r="Q497" s="7" t="n">
        <v>-24.59</v>
      </c>
      <c r="R497" s="7" t="s">
        <v>71</v>
      </c>
    </row>
    <row r="498" customFormat="false" ht="15" hidden="false" customHeight="false" outlineLevel="0" collapsed="false">
      <c r="A498" s="7" t="s">
        <v>398</v>
      </c>
      <c r="B498" s="7" t="s">
        <v>64</v>
      </c>
      <c r="C498" s="7" t="n">
        <v>79718.8</v>
      </c>
      <c r="D498" s="7" t="n">
        <v>79601.6</v>
      </c>
      <c r="E498" s="7" t="n">
        <v>0.0014723322144278</v>
      </c>
      <c r="F498" s="7" t="s">
        <v>450</v>
      </c>
      <c r="G498" s="7" t="s">
        <v>451</v>
      </c>
      <c r="H498" s="7" t="s">
        <v>450</v>
      </c>
      <c r="I498" s="32" t="b">
        <f aca="false">FALSE()</f>
        <v>0</v>
      </c>
      <c r="J498" s="32" t="b">
        <f aca="false">FALSE()</f>
        <v>0</v>
      </c>
      <c r="K498" s="32" t="b">
        <f aca="false">FALSE()</f>
        <v>0</v>
      </c>
      <c r="L498" s="7" t="s">
        <v>445</v>
      </c>
      <c r="M498" s="7" t="s">
        <v>452</v>
      </c>
      <c r="N498" s="7" t="s">
        <v>453</v>
      </c>
      <c r="O498" s="7"/>
      <c r="P498" s="7"/>
      <c r="Q498" s="7"/>
      <c r="R498" s="7"/>
    </row>
    <row r="499" customFormat="false" ht="15" hidden="false" customHeight="false" outlineLevel="0" collapsed="false">
      <c r="A499" s="7" t="s">
        <v>399</v>
      </c>
      <c r="B499" s="7" t="s">
        <v>63</v>
      </c>
      <c r="C499" s="7" t="n">
        <v>79832.6</v>
      </c>
      <c r="D499" s="7" t="n">
        <v>79742.3</v>
      </c>
      <c r="E499" s="7" t="n">
        <v>0.0011323977362077</v>
      </c>
      <c r="F499" s="7" t="s">
        <v>60</v>
      </c>
      <c r="G499" s="7" t="s">
        <v>459</v>
      </c>
      <c r="H499" s="7" t="s">
        <v>66</v>
      </c>
      <c r="I499" s="32" t="b">
        <f aca="false">FALSE()</f>
        <v>0</v>
      </c>
      <c r="J499" s="32" t="b">
        <f aca="false">TRUE()</f>
        <v>1</v>
      </c>
      <c r="K499" s="32" t="b">
        <f aca="false">FALSE()</f>
        <v>0</v>
      </c>
      <c r="L499" s="7" t="s">
        <v>445</v>
      </c>
      <c r="M499" s="7" t="s">
        <v>446</v>
      </c>
      <c r="N499" s="7" t="s">
        <v>582</v>
      </c>
      <c r="O499" s="7" t="n">
        <v>79767.05</v>
      </c>
      <c r="P499" s="7" t="n">
        <v>79383.46</v>
      </c>
      <c r="Q499" s="7" t="n">
        <v>6.08</v>
      </c>
      <c r="R499" s="7" t="s">
        <v>69</v>
      </c>
    </row>
    <row r="500" customFormat="false" ht="15" hidden="false" customHeight="false" outlineLevel="0" collapsed="false">
      <c r="A500" s="7" t="s">
        <v>399</v>
      </c>
      <c r="B500" s="7" t="s">
        <v>64</v>
      </c>
      <c r="C500" s="7" t="n">
        <v>79823.8</v>
      </c>
      <c r="D500" s="7" t="n">
        <v>79719.9</v>
      </c>
      <c r="E500" s="7" t="n">
        <v>0.0013033132254306</v>
      </c>
      <c r="F500" s="7" t="s">
        <v>450</v>
      </c>
      <c r="G500" s="7" t="s">
        <v>451</v>
      </c>
      <c r="H500" s="7" t="s">
        <v>450</v>
      </c>
      <c r="I500" s="32" t="b">
        <f aca="false">FALSE()</f>
        <v>0</v>
      </c>
      <c r="J500" s="32" t="b">
        <f aca="false">FALSE()</f>
        <v>0</v>
      </c>
      <c r="K500" s="32" t="b">
        <f aca="false">FALSE()</f>
        <v>0</v>
      </c>
      <c r="L500" s="7" t="s">
        <v>445</v>
      </c>
      <c r="M500" s="7" t="s">
        <v>452</v>
      </c>
      <c r="N500" s="7" t="s">
        <v>453</v>
      </c>
      <c r="O500" s="7"/>
      <c r="P500" s="7"/>
      <c r="Q500" s="7"/>
      <c r="R500" s="7"/>
    </row>
    <row r="501" customFormat="false" ht="15" hidden="false" customHeight="false" outlineLevel="0" collapsed="false">
      <c r="A501" s="7" t="s">
        <v>400</v>
      </c>
      <c r="B501" s="7" t="s">
        <v>63</v>
      </c>
      <c r="C501" s="7" t="n">
        <v>79485.3</v>
      </c>
      <c r="D501" s="7" t="n">
        <v>78938.7</v>
      </c>
      <c r="E501" s="7" t="n">
        <v>0.0069243602947604</v>
      </c>
      <c r="F501" s="7" t="s">
        <v>60</v>
      </c>
      <c r="G501" s="7" t="s">
        <v>448</v>
      </c>
      <c r="H501" s="7" t="s">
        <v>67</v>
      </c>
      <c r="I501" s="32" t="b">
        <f aca="false">FALSE()</f>
        <v>0</v>
      </c>
      <c r="J501" s="32" t="b">
        <f aca="false">TRUE()</f>
        <v>1</v>
      </c>
      <c r="K501" s="32" t="b">
        <f aca="false">FALSE()</f>
        <v>0</v>
      </c>
      <c r="L501" s="7" t="s">
        <v>445</v>
      </c>
      <c r="M501" s="7" t="s">
        <v>446</v>
      </c>
      <c r="N501" s="7" t="s">
        <v>454</v>
      </c>
      <c r="O501" s="7" t="n">
        <v>79414.11</v>
      </c>
      <c r="P501" s="7" t="n">
        <v>79842.98</v>
      </c>
      <c r="Q501" s="7" t="n">
        <v>-51.12</v>
      </c>
      <c r="R501" s="7" t="s">
        <v>71</v>
      </c>
    </row>
    <row r="502" customFormat="false" ht="15" hidden="false" customHeight="false" outlineLevel="0" collapsed="false">
      <c r="A502" s="7" t="s">
        <v>400</v>
      </c>
      <c r="B502" s="7" t="s">
        <v>64</v>
      </c>
      <c r="C502" s="7" t="n">
        <v>79605.2</v>
      </c>
      <c r="D502" s="7" t="n">
        <v>79268.2</v>
      </c>
      <c r="E502" s="7" t="n">
        <v>0.0042513895862401</v>
      </c>
      <c r="F502" s="7" t="s">
        <v>450</v>
      </c>
      <c r="G502" s="7" t="s">
        <v>451</v>
      </c>
      <c r="H502" s="7" t="s">
        <v>450</v>
      </c>
      <c r="I502" s="32" t="b">
        <f aca="false">FALSE()</f>
        <v>0</v>
      </c>
      <c r="J502" s="32" t="b">
        <f aca="false">FALSE()</f>
        <v>0</v>
      </c>
      <c r="K502" s="32" t="b">
        <f aca="false">FALSE()</f>
        <v>0</v>
      </c>
      <c r="L502" s="7" t="s">
        <v>445</v>
      </c>
      <c r="M502" s="7" t="s">
        <v>452</v>
      </c>
      <c r="N502" s="7" t="s">
        <v>453</v>
      </c>
      <c r="O502" s="7"/>
      <c r="P502" s="7"/>
      <c r="Q502" s="7"/>
      <c r="R502" s="7"/>
    </row>
    <row r="503" customFormat="false" ht="15" hidden="false" customHeight="false" outlineLevel="0" collapsed="false">
      <c r="A503" s="7" t="s">
        <v>401</v>
      </c>
      <c r="B503" s="7" t="s">
        <v>63</v>
      </c>
      <c r="C503" s="7" t="n">
        <v>78577.3</v>
      </c>
      <c r="D503" s="7" t="n">
        <v>78400.4</v>
      </c>
      <c r="E503" s="7" t="n">
        <v>0.0022563660389488</v>
      </c>
      <c r="F503" s="7" t="s">
        <v>60</v>
      </c>
      <c r="G503" s="7" t="s">
        <v>459</v>
      </c>
      <c r="H503" s="7" t="s">
        <v>66</v>
      </c>
      <c r="I503" s="32" t="b">
        <f aca="false">FALSE()</f>
        <v>0</v>
      </c>
      <c r="J503" s="32" t="b">
        <f aca="false">TRUE()</f>
        <v>1</v>
      </c>
      <c r="K503" s="32" t="b">
        <f aca="false">FALSE()</f>
        <v>0</v>
      </c>
      <c r="L503" s="7" t="s">
        <v>445</v>
      </c>
      <c r="M503" s="7" t="s">
        <v>446</v>
      </c>
      <c r="N503" s="7" t="s">
        <v>460</v>
      </c>
      <c r="O503" s="7" t="n">
        <v>78460.79</v>
      </c>
      <c r="P503" s="7" t="n">
        <v>78047.6</v>
      </c>
      <c r="Q503" s="7" t="n">
        <v>17.15</v>
      </c>
      <c r="R503" s="7" t="s">
        <v>69</v>
      </c>
    </row>
    <row r="504" customFormat="false" ht="15" hidden="false" customHeight="false" outlineLevel="0" collapsed="false">
      <c r="A504" s="7" t="s">
        <v>401</v>
      </c>
      <c r="B504" s="7" t="s">
        <v>64</v>
      </c>
      <c r="C504" s="7" t="n">
        <v>78344.7</v>
      </c>
      <c r="D504" s="7" t="n">
        <v>77660</v>
      </c>
      <c r="E504" s="7" t="n">
        <v>0.0088166366211691</v>
      </c>
      <c r="F504" s="7" t="s">
        <v>60</v>
      </c>
      <c r="G504" s="7" t="s">
        <v>459</v>
      </c>
      <c r="H504" s="7" t="s">
        <v>66</v>
      </c>
      <c r="I504" s="32" t="b">
        <f aca="false">FALSE()</f>
        <v>0</v>
      </c>
      <c r="J504" s="32" t="b">
        <f aca="false">TRUE()</f>
        <v>1</v>
      </c>
      <c r="K504" s="32" t="b">
        <f aca="false">FALSE()</f>
        <v>0</v>
      </c>
      <c r="L504" s="7" t="s">
        <v>445</v>
      </c>
      <c r="M504" s="7" t="s">
        <v>446</v>
      </c>
      <c r="N504" s="7" t="s">
        <v>465</v>
      </c>
      <c r="O504" s="7" t="n">
        <v>77952.19</v>
      </c>
      <c r="P504" s="7" t="n">
        <v>77310.53</v>
      </c>
      <c r="Q504" s="7" t="n">
        <v>36</v>
      </c>
      <c r="R504" s="7" t="s">
        <v>69</v>
      </c>
    </row>
    <row r="505" customFormat="false" ht="15" hidden="false" customHeight="false" outlineLevel="0" collapsed="false">
      <c r="A505" s="7" t="s">
        <v>402</v>
      </c>
      <c r="B505" s="7" t="s">
        <v>63</v>
      </c>
      <c r="C505" s="7" t="n">
        <v>79261.6</v>
      </c>
      <c r="D505" s="7" t="n">
        <v>79135.4</v>
      </c>
      <c r="E505" s="7" t="n">
        <v>0.0015947350995889</v>
      </c>
      <c r="F505" s="7" t="s">
        <v>61</v>
      </c>
      <c r="G505" s="7" t="s">
        <v>455</v>
      </c>
      <c r="H505" s="7" t="s">
        <v>66</v>
      </c>
      <c r="I505" s="32" t="b">
        <f aca="false">TRUE()</f>
        <v>1</v>
      </c>
      <c r="J505" s="32" t="b">
        <f aca="false">TRUE()</f>
        <v>1</v>
      </c>
      <c r="K505" s="32" t="b">
        <f aca="false">FALSE()</f>
        <v>0</v>
      </c>
      <c r="L505" s="7" t="s">
        <v>445</v>
      </c>
      <c r="M505" s="7" t="s">
        <v>446</v>
      </c>
      <c r="N505" s="7" t="s">
        <v>583</v>
      </c>
      <c r="O505" s="7" t="n">
        <v>79676.43</v>
      </c>
      <c r="P505" s="7" t="n">
        <v>79142.71</v>
      </c>
      <c r="Q505" s="7" t="n">
        <v>-113.36</v>
      </c>
      <c r="R505" s="7" t="s">
        <v>70</v>
      </c>
    </row>
    <row r="506" customFormat="false" ht="15" hidden="false" customHeight="false" outlineLevel="0" collapsed="false">
      <c r="A506" s="7" t="s">
        <v>402</v>
      </c>
      <c r="B506" s="7" t="s">
        <v>64</v>
      </c>
      <c r="C506" s="7" t="n">
        <v>79648.1</v>
      </c>
      <c r="D506" s="7" t="n">
        <v>79070.1</v>
      </c>
      <c r="E506" s="7" t="n">
        <v>0.0073099692551293</v>
      </c>
      <c r="F506" s="7" t="s">
        <v>450</v>
      </c>
      <c r="G506" s="7" t="s">
        <v>451</v>
      </c>
      <c r="H506" s="7" t="s">
        <v>450</v>
      </c>
      <c r="I506" s="32" t="b">
        <f aca="false">FALSE()</f>
        <v>0</v>
      </c>
      <c r="J506" s="32" t="b">
        <f aca="false">FALSE()</f>
        <v>0</v>
      </c>
      <c r="K506" s="32" t="b">
        <f aca="false">FALSE()</f>
        <v>0</v>
      </c>
      <c r="L506" s="7" t="s">
        <v>445</v>
      </c>
      <c r="M506" s="7" t="s">
        <v>452</v>
      </c>
      <c r="N506" s="7" t="s">
        <v>453</v>
      </c>
      <c r="O506" s="7"/>
      <c r="P506" s="7"/>
      <c r="Q506" s="7"/>
      <c r="R506" s="7"/>
    </row>
    <row r="507" customFormat="false" ht="15" hidden="false" customHeight="false" outlineLevel="0" collapsed="false">
      <c r="A507" s="7" t="s">
        <v>584</v>
      </c>
      <c r="B507" s="7" t="s">
        <v>63</v>
      </c>
      <c r="C507" s="7" t="n">
        <v>78011.5</v>
      </c>
      <c r="D507" s="7" t="n">
        <v>77867.5</v>
      </c>
      <c r="E507" s="7" t="n">
        <v>0.0018492952772337</v>
      </c>
      <c r="F507" s="7" t="s">
        <v>450</v>
      </c>
      <c r="G507" s="7" t="s">
        <v>451</v>
      </c>
      <c r="H507" s="7" t="s">
        <v>450</v>
      </c>
      <c r="I507" s="32" t="b">
        <f aca="false">FALSE()</f>
        <v>0</v>
      </c>
      <c r="J507" s="32" t="b">
        <f aca="false">FALSE()</f>
        <v>0</v>
      </c>
      <c r="K507" s="32" t="b">
        <f aca="false">FALSE()</f>
        <v>0</v>
      </c>
      <c r="L507" s="7" t="s">
        <v>445</v>
      </c>
      <c r="M507" s="7" t="s">
        <v>452</v>
      </c>
      <c r="N507" s="7" t="s">
        <v>453</v>
      </c>
      <c r="O507" s="7"/>
      <c r="P507" s="7"/>
      <c r="Q507" s="7"/>
      <c r="R507" s="7"/>
    </row>
    <row r="508" customFormat="false" ht="15" hidden="false" customHeight="false" outlineLevel="0" collapsed="false">
      <c r="A508" s="7" t="s">
        <v>584</v>
      </c>
      <c r="B508" s="7" t="s">
        <v>64</v>
      </c>
      <c r="C508" s="7" t="n">
        <v>77070.7</v>
      </c>
      <c r="D508" s="7" t="n">
        <v>76730</v>
      </c>
      <c r="E508" s="7" t="n">
        <v>0.0044402450149875</v>
      </c>
      <c r="F508" s="7" t="s">
        <v>450</v>
      </c>
      <c r="G508" s="7" t="s">
        <v>451</v>
      </c>
      <c r="H508" s="7" t="s">
        <v>450</v>
      </c>
      <c r="I508" s="32" t="b">
        <f aca="false">FALSE()</f>
        <v>0</v>
      </c>
      <c r="J508" s="32" t="b">
        <f aca="false">FALSE()</f>
        <v>0</v>
      </c>
      <c r="K508" s="32" t="b">
        <f aca="false">FALSE()</f>
        <v>0</v>
      </c>
      <c r="L508" s="7" t="s">
        <v>445</v>
      </c>
      <c r="M508" s="7" t="s">
        <v>452</v>
      </c>
      <c r="N508" s="7" t="s">
        <v>453</v>
      </c>
      <c r="O508" s="7"/>
      <c r="P508" s="7"/>
      <c r="Q508" s="7"/>
      <c r="R508" s="7"/>
    </row>
    <row r="509" customFormat="false" ht="15" hidden="false" customHeight="false" outlineLevel="0" collapsed="false">
      <c r="A509" s="7" t="s">
        <v>585</v>
      </c>
      <c r="B509" s="7" t="s">
        <v>63</v>
      </c>
      <c r="C509" s="7" t="n">
        <v>77306</v>
      </c>
      <c r="D509" s="7" t="n">
        <v>77215.9</v>
      </c>
      <c r="E509" s="7" t="n">
        <v>0.0011668581211901</v>
      </c>
      <c r="F509" s="7" t="s">
        <v>450</v>
      </c>
      <c r="G509" s="7" t="s">
        <v>451</v>
      </c>
      <c r="H509" s="7" t="s">
        <v>450</v>
      </c>
      <c r="I509" s="32" t="b">
        <f aca="false">FALSE()</f>
        <v>0</v>
      </c>
      <c r="J509" s="32" t="b">
        <f aca="false">FALSE()</f>
        <v>0</v>
      </c>
      <c r="K509" s="32" t="b">
        <f aca="false">FALSE()</f>
        <v>0</v>
      </c>
      <c r="L509" s="7" t="s">
        <v>445</v>
      </c>
      <c r="M509" s="7" t="s">
        <v>452</v>
      </c>
      <c r="N509" s="7" t="s">
        <v>453</v>
      </c>
      <c r="O509" s="7"/>
      <c r="P509" s="7"/>
      <c r="Q509" s="7"/>
      <c r="R509" s="7"/>
    </row>
    <row r="510" customFormat="false" ht="15" hidden="false" customHeight="false" outlineLevel="0" collapsed="false">
      <c r="A510" s="7" t="s">
        <v>585</v>
      </c>
      <c r="B510" s="7" t="s">
        <v>64</v>
      </c>
      <c r="C510" s="7" t="n">
        <v>77900</v>
      </c>
      <c r="D510" s="7" t="n">
        <v>77211.4</v>
      </c>
      <c r="E510" s="7" t="n">
        <v>0.0089183721574794</v>
      </c>
      <c r="F510" s="7" t="s">
        <v>59</v>
      </c>
      <c r="G510" s="7" t="s">
        <v>444</v>
      </c>
      <c r="H510" s="7" t="s">
        <v>66</v>
      </c>
      <c r="I510" s="32" t="b">
        <f aca="false">TRUE()</f>
        <v>1</v>
      </c>
      <c r="J510" s="32" t="b">
        <f aca="false">FALSE()</f>
        <v>0</v>
      </c>
      <c r="K510" s="32" t="b">
        <f aca="false">FALSE()</f>
        <v>0</v>
      </c>
      <c r="L510" s="7" t="s">
        <v>445</v>
      </c>
      <c r="M510" s="7" t="s">
        <v>452</v>
      </c>
      <c r="N510" s="7" t="s">
        <v>548</v>
      </c>
      <c r="O510" s="7"/>
      <c r="P510" s="7"/>
      <c r="Q510" s="7"/>
      <c r="R510" s="7"/>
    </row>
    <row r="511" customFormat="false" ht="15" hidden="false" customHeight="false" outlineLevel="0" collapsed="false">
      <c r="A511" s="7" t="s">
        <v>586</v>
      </c>
      <c r="B511" s="7" t="s">
        <v>63</v>
      </c>
      <c r="C511" s="7" t="n">
        <v>77271.6</v>
      </c>
      <c r="D511" s="7" t="n">
        <v>77242.6</v>
      </c>
      <c r="E511" s="7" t="n">
        <v>0.0003754404952707</v>
      </c>
      <c r="F511" s="7" t="s">
        <v>450</v>
      </c>
      <c r="G511" s="7" t="s">
        <v>451</v>
      </c>
      <c r="H511" s="7" t="s">
        <v>450</v>
      </c>
      <c r="I511" s="32" t="b">
        <f aca="false">FALSE()</f>
        <v>0</v>
      </c>
      <c r="J511" s="32" t="b">
        <f aca="false">FALSE()</f>
        <v>0</v>
      </c>
      <c r="K511" s="32" t="b">
        <f aca="false">FALSE()</f>
        <v>0</v>
      </c>
      <c r="L511" s="7" t="s">
        <v>445</v>
      </c>
      <c r="M511" s="7" t="s">
        <v>452</v>
      </c>
      <c r="N511" s="7" t="s">
        <v>453</v>
      </c>
      <c r="O511" s="7"/>
      <c r="P511" s="7"/>
      <c r="Q511" s="7"/>
      <c r="R511" s="7"/>
    </row>
    <row r="512" customFormat="false" ht="15" hidden="false" customHeight="false" outlineLevel="0" collapsed="false">
      <c r="A512" s="7" t="s">
        <v>586</v>
      </c>
      <c r="B512" s="7" t="s">
        <v>64</v>
      </c>
      <c r="C512" s="7" t="n">
        <v>77296.1</v>
      </c>
      <c r="D512" s="7" t="n">
        <v>77228.3</v>
      </c>
      <c r="E512" s="7" t="n">
        <v>0.0008779165150599</v>
      </c>
      <c r="F512" s="7" t="s">
        <v>450</v>
      </c>
      <c r="G512" s="7" t="s">
        <v>451</v>
      </c>
      <c r="H512" s="7" t="s">
        <v>450</v>
      </c>
      <c r="I512" s="32" t="b">
        <f aca="false">FALSE()</f>
        <v>0</v>
      </c>
      <c r="J512" s="32" t="b">
        <f aca="false">FALSE()</f>
        <v>0</v>
      </c>
      <c r="K512" s="32" t="b">
        <f aca="false">FALSE()</f>
        <v>0</v>
      </c>
      <c r="L512" s="7" t="s">
        <v>445</v>
      </c>
      <c r="M512" s="7" t="s">
        <v>452</v>
      </c>
      <c r="N512" s="7" t="s">
        <v>453</v>
      </c>
      <c r="O512" s="7"/>
      <c r="P512" s="7"/>
      <c r="Q512" s="7"/>
      <c r="R512" s="7"/>
    </row>
    <row r="513" customFormat="false" ht="15" hidden="false" customHeight="false" outlineLevel="0" collapsed="false">
      <c r="A513" s="7" t="s">
        <v>403</v>
      </c>
      <c r="B513" s="7" t="s">
        <v>63</v>
      </c>
      <c r="C513" s="7" t="n">
        <v>77133.7</v>
      </c>
      <c r="D513" s="7" t="n">
        <v>77052.1</v>
      </c>
      <c r="E513" s="7" t="n">
        <v>0.0010590236995486</v>
      </c>
      <c r="F513" s="7" t="s">
        <v>450</v>
      </c>
      <c r="G513" s="7" t="s">
        <v>451</v>
      </c>
      <c r="H513" s="7" t="s">
        <v>450</v>
      </c>
      <c r="I513" s="32" t="b">
        <f aca="false">FALSE()</f>
        <v>0</v>
      </c>
      <c r="J513" s="32" t="b">
        <f aca="false">FALSE()</f>
        <v>0</v>
      </c>
      <c r="K513" s="32" t="b">
        <f aca="false">FALSE()</f>
        <v>0</v>
      </c>
      <c r="L513" s="7" t="s">
        <v>445</v>
      </c>
      <c r="M513" s="7" t="s">
        <v>452</v>
      </c>
      <c r="N513" s="7" t="s">
        <v>453</v>
      </c>
      <c r="O513" s="7"/>
      <c r="P513" s="7"/>
      <c r="Q513" s="7"/>
      <c r="R513" s="7"/>
    </row>
    <row r="514" customFormat="false" ht="15" hidden="false" customHeight="false" outlineLevel="0" collapsed="false">
      <c r="A514" s="7" t="s">
        <v>403</v>
      </c>
      <c r="B514" s="7" t="s">
        <v>64</v>
      </c>
      <c r="C514" s="7" t="n">
        <v>76739.9</v>
      </c>
      <c r="D514" s="7" t="n">
        <v>76545</v>
      </c>
      <c r="E514" s="7" t="n">
        <v>0.00254621464498</v>
      </c>
      <c r="F514" s="7" t="s">
        <v>59</v>
      </c>
      <c r="G514" s="7" t="s">
        <v>444</v>
      </c>
      <c r="H514" s="7" t="s">
        <v>66</v>
      </c>
      <c r="I514" s="32" t="b">
        <f aca="false">TRUE()</f>
        <v>1</v>
      </c>
      <c r="J514" s="32" t="b">
        <f aca="false">FALSE()</f>
        <v>0</v>
      </c>
      <c r="K514" s="32" t="b">
        <f aca="false">FALSE()</f>
        <v>0</v>
      </c>
      <c r="L514" s="7" t="s">
        <v>445</v>
      </c>
      <c r="M514" s="7" t="s">
        <v>446</v>
      </c>
      <c r="N514" s="7" t="s">
        <v>587</v>
      </c>
      <c r="O514" s="7" t="n">
        <v>76829.06</v>
      </c>
      <c r="P514" s="7" t="n">
        <v>76624.79</v>
      </c>
      <c r="Q514" s="7" t="n">
        <v>64.07</v>
      </c>
      <c r="R514" s="7" t="s">
        <v>69</v>
      </c>
    </row>
    <row r="515" customFormat="false" ht="15" hidden="false" customHeight="false" outlineLevel="0" collapsed="false">
      <c r="A515" s="7" t="s">
        <v>404</v>
      </c>
      <c r="B515" s="7" t="s">
        <v>63</v>
      </c>
      <c r="C515" s="7" t="n">
        <v>77844</v>
      </c>
      <c r="D515" s="7" t="n">
        <v>77645.2</v>
      </c>
      <c r="E515" s="7" t="n">
        <v>0.0025603643238732</v>
      </c>
      <c r="F515" s="7" t="s">
        <v>450</v>
      </c>
      <c r="G515" s="7" t="s">
        <v>451</v>
      </c>
      <c r="H515" s="7" t="s">
        <v>450</v>
      </c>
      <c r="I515" s="32" t="b">
        <f aca="false">FALSE()</f>
        <v>0</v>
      </c>
      <c r="J515" s="32" t="b">
        <f aca="false">FALSE()</f>
        <v>0</v>
      </c>
      <c r="K515" s="32" t="b">
        <f aca="false">FALSE()</f>
        <v>0</v>
      </c>
      <c r="L515" s="7" t="s">
        <v>445</v>
      </c>
      <c r="M515" s="7" t="s">
        <v>452</v>
      </c>
      <c r="N515" s="7" t="s">
        <v>453</v>
      </c>
      <c r="O515" s="7"/>
      <c r="P515" s="7"/>
      <c r="Q515" s="7"/>
      <c r="R515" s="7"/>
    </row>
    <row r="516" customFormat="false" ht="15" hidden="false" customHeight="false" outlineLevel="0" collapsed="false">
      <c r="A516" s="7" t="s">
        <v>404</v>
      </c>
      <c r="B516" s="7" t="s">
        <v>64</v>
      </c>
      <c r="C516" s="7" t="n">
        <v>78239</v>
      </c>
      <c r="D516" s="7" t="n">
        <v>77805.2</v>
      </c>
      <c r="E516" s="7" t="n">
        <v>0.0055754628225363</v>
      </c>
      <c r="F516" s="7" t="s">
        <v>60</v>
      </c>
      <c r="G516" s="7" t="s">
        <v>448</v>
      </c>
      <c r="H516" s="7" t="s">
        <v>67</v>
      </c>
      <c r="I516" s="32" t="b">
        <f aca="false">FALSE()</f>
        <v>0</v>
      </c>
      <c r="J516" s="32" t="b">
        <f aca="false">TRUE()</f>
        <v>1</v>
      </c>
      <c r="K516" s="32" t="b">
        <f aca="false">FALSE()</f>
        <v>0</v>
      </c>
      <c r="L516" s="7" t="s">
        <v>445</v>
      </c>
      <c r="M516" s="7" t="s">
        <v>446</v>
      </c>
      <c r="N516" s="7" t="s">
        <v>449</v>
      </c>
      <c r="O516" s="7" t="n">
        <v>78123.57</v>
      </c>
      <c r="P516" s="7" t="n">
        <v>78591.08</v>
      </c>
      <c r="Q516" s="7" t="n">
        <v>-101.31</v>
      </c>
      <c r="R516" s="7" t="s">
        <v>70</v>
      </c>
    </row>
    <row r="517" customFormat="false" ht="15" hidden="false" customHeight="false" outlineLevel="0" collapsed="false">
      <c r="A517" s="7" t="s">
        <v>588</v>
      </c>
      <c r="B517" s="7" t="s">
        <v>63</v>
      </c>
      <c r="C517" s="7" t="n">
        <v>77249</v>
      </c>
      <c r="D517" s="7" t="n">
        <v>76927</v>
      </c>
      <c r="E517" s="7" t="n">
        <v>0.0041857865248872</v>
      </c>
      <c r="F517" s="7" t="s">
        <v>450</v>
      </c>
      <c r="G517" s="7" t="s">
        <v>451</v>
      </c>
      <c r="H517" s="7" t="s">
        <v>450</v>
      </c>
      <c r="I517" s="32" t="b">
        <f aca="false">FALSE()</f>
        <v>0</v>
      </c>
      <c r="J517" s="32" t="b">
        <f aca="false">FALSE()</f>
        <v>0</v>
      </c>
      <c r="K517" s="32" t="b">
        <f aca="false">FALSE()</f>
        <v>0</v>
      </c>
      <c r="L517" s="7" t="s">
        <v>445</v>
      </c>
      <c r="M517" s="7" t="s">
        <v>452</v>
      </c>
      <c r="N517" s="7" t="s">
        <v>453</v>
      </c>
      <c r="O517" s="7"/>
      <c r="P517" s="7"/>
      <c r="Q517" s="7"/>
      <c r="R517" s="7"/>
    </row>
    <row r="518" customFormat="false" ht="15" hidden="false" customHeight="false" outlineLevel="0" collapsed="false">
      <c r="A518" s="7" t="s">
        <v>588</v>
      </c>
      <c r="B518" s="7" t="s">
        <v>64</v>
      </c>
      <c r="C518" s="7" t="n">
        <v>76913.3</v>
      </c>
      <c r="D518" s="7" t="n">
        <v>76065</v>
      </c>
      <c r="E518" s="7" t="n">
        <v>0.0111523039505686</v>
      </c>
      <c r="F518" s="7" t="s">
        <v>450</v>
      </c>
      <c r="G518" s="7" t="s">
        <v>451</v>
      </c>
      <c r="H518" s="7" t="s">
        <v>450</v>
      </c>
      <c r="I518" s="32" t="b">
        <f aca="false">FALSE()</f>
        <v>0</v>
      </c>
      <c r="J518" s="32" t="b">
        <f aca="false">FALSE()</f>
        <v>0</v>
      </c>
      <c r="K518" s="32" t="b">
        <f aca="false">FALSE()</f>
        <v>0</v>
      </c>
      <c r="L518" s="7" t="s">
        <v>445</v>
      </c>
      <c r="M518" s="7" t="s">
        <v>452</v>
      </c>
      <c r="N518" s="7" t="s">
        <v>453</v>
      </c>
      <c r="O518" s="7"/>
      <c r="P518" s="7"/>
      <c r="Q518" s="7"/>
      <c r="R518" s="7"/>
    </row>
    <row r="519" customFormat="false" ht="15" hidden="false" customHeight="false" outlineLevel="0" collapsed="false">
      <c r="A519" s="7" t="s">
        <v>405</v>
      </c>
      <c r="B519" s="7" t="s">
        <v>63</v>
      </c>
      <c r="C519" s="7" t="n">
        <v>75869.4</v>
      </c>
      <c r="D519" s="7" t="n">
        <v>75726.9</v>
      </c>
      <c r="E519" s="7" t="n">
        <v>0.001881761963054</v>
      </c>
      <c r="F519" s="7" t="s">
        <v>450</v>
      </c>
      <c r="G519" s="7" t="s">
        <v>451</v>
      </c>
      <c r="H519" s="7" t="s">
        <v>450</v>
      </c>
      <c r="I519" s="32" t="b">
        <f aca="false">FALSE()</f>
        <v>0</v>
      </c>
      <c r="J519" s="32" t="b">
        <f aca="false">FALSE()</f>
        <v>0</v>
      </c>
      <c r="K519" s="32" t="b">
        <f aca="false">FALSE()</f>
        <v>0</v>
      </c>
      <c r="L519" s="7" t="s">
        <v>445</v>
      </c>
      <c r="M519" s="7" t="s">
        <v>452</v>
      </c>
      <c r="N519" s="7" t="s">
        <v>453</v>
      </c>
      <c r="O519" s="7"/>
      <c r="P519" s="7"/>
      <c r="Q519" s="7"/>
      <c r="R519" s="7"/>
    </row>
    <row r="520" customFormat="false" ht="15" hidden="false" customHeight="false" outlineLevel="0" collapsed="false">
      <c r="A520" s="7" t="s">
        <v>405</v>
      </c>
      <c r="B520" s="7" t="s">
        <v>64</v>
      </c>
      <c r="C520" s="7" t="n">
        <v>75770</v>
      </c>
      <c r="D520" s="7" t="n">
        <v>75537.5</v>
      </c>
      <c r="E520" s="7" t="n">
        <v>0.0030779414198245</v>
      </c>
      <c r="F520" s="7" t="s">
        <v>60</v>
      </c>
      <c r="G520" s="7" t="s">
        <v>448</v>
      </c>
      <c r="H520" s="7" t="s">
        <v>67</v>
      </c>
      <c r="I520" s="32" t="b">
        <f aca="false">FALSE()</f>
        <v>0</v>
      </c>
      <c r="J520" s="32" t="b">
        <f aca="false">TRUE()</f>
        <v>1</v>
      </c>
      <c r="K520" s="32" t="b">
        <f aca="false">FALSE()</f>
        <v>0</v>
      </c>
      <c r="L520" s="7" t="s">
        <v>445</v>
      </c>
      <c r="M520" s="7" t="s">
        <v>446</v>
      </c>
      <c r="N520" s="7" t="s">
        <v>472</v>
      </c>
      <c r="O520" s="7" t="n">
        <v>75600.38</v>
      </c>
      <c r="P520" s="7" t="n">
        <v>76110.96</v>
      </c>
      <c r="Q520" s="7" t="n">
        <v>17.62</v>
      </c>
      <c r="R520" s="7" t="s">
        <v>69</v>
      </c>
    </row>
    <row r="521" customFormat="false" ht="15" hidden="false" customHeight="false" outlineLevel="0" collapsed="false">
      <c r="A521" s="7" t="s">
        <v>589</v>
      </c>
      <c r="B521" s="7" t="s">
        <v>63</v>
      </c>
      <c r="C521" s="7" t="n">
        <v>76509.5</v>
      </c>
      <c r="D521" s="7" t="n">
        <v>76452.5</v>
      </c>
      <c r="E521" s="7" t="n">
        <v>0.0007455609692292</v>
      </c>
      <c r="F521" s="7" t="s">
        <v>450</v>
      </c>
      <c r="G521" s="7" t="s">
        <v>451</v>
      </c>
      <c r="H521" s="7" t="s">
        <v>450</v>
      </c>
      <c r="I521" s="32" t="b">
        <f aca="false">FALSE()</f>
        <v>0</v>
      </c>
      <c r="J521" s="32" t="b">
        <f aca="false">FALSE()</f>
        <v>0</v>
      </c>
      <c r="K521" s="32" t="b">
        <f aca="false">FALSE()</f>
        <v>0</v>
      </c>
      <c r="L521" s="7" t="s">
        <v>445</v>
      </c>
      <c r="M521" s="7" t="s">
        <v>452</v>
      </c>
      <c r="N521" s="7" t="s">
        <v>453</v>
      </c>
      <c r="O521" s="7"/>
      <c r="P521" s="7"/>
      <c r="Q521" s="7"/>
      <c r="R521" s="7"/>
    </row>
    <row r="522" customFormat="false" ht="15" hidden="false" customHeight="false" outlineLevel="0" collapsed="false">
      <c r="A522" s="7" t="s">
        <v>589</v>
      </c>
      <c r="B522" s="7" t="s">
        <v>64</v>
      </c>
      <c r="C522" s="7" t="n">
        <v>76558.8</v>
      </c>
      <c r="D522" s="7" t="n">
        <v>75975</v>
      </c>
      <c r="E522" s="7" t="n">
        <v>0.0076841066140178</v>
      </c>
      <c r="F522" s="7" t="s">
        <v>450</v>
      </c>
      <c r="G522" s="7" t="s">
        <v>451</v>
      </c>
      <c r="H522" s="7" t="s">
        <v>450</v>
      </c>
      <c r="I522" s="32" t="b">
        <f aca="false">FALSE()</f>
        <v>0</v>
      </c>
      <c r="J522" s="32" t="b">
        <f aca="false">FALSE()</f>
        <v>0</v>
      </c>
      <c r="K522" s="32" t="b">
        <f aca="false">FALSE()</f>
        <v>0</v>
      </c>
      <c r="L522" s="7" t="s">
        <v>445</v>
      </c>
      <c r="M522" s="7" t="s">
        <v>452</v>
      </c>
      <c r="N522" s="7" t="s">
        <v>453</v>
      </c>
      <c r="O522" s="7"/>
      <c r="P522" s="7"/>
      <c r="Q522" s="7"/>
      <c r="R522" s="7"/>
    </row>
    <row r="523" customFormat="false" ht="15" hidden="false" customHeight="false" outlineLevel="0" collapsed="false">
      <c r="A523" s="7" t="s">
        <v>406</v>
      </c>
      <c r="B523" s="7" t="s">
        <v>63</v>
      </c>
      <c r="C523" s="7" t="n">
        <v>77815.7</v>
      </c>
      <c r="D523" s="7" t="n">
        <v>77700</v>
      </c>
      <c r="E523" s="7" t="n">
        <v>0.0014890604890604</v>
      </c>
      <c r="F523" s="7" t="s">
        <v>60</v>
      </c>
      <c r="G523" s="7" t="s">
        <v>459</v>
      </c>
      <c r="H523" s="7" t="s">
        <v>66</v>
      </c>
      <c r="I523" s="32" t="b">
        <f aca="false">FALSE()</f>
        <v>0</v>
      </c>
      <c r="J523" s="32" t="b">
        <f aca="false">TRUE()</f>
        <v>1</v>
      </c>
      <c r="K523" s="32" t="b">
        <f aca="false">FALSE()</f>
        <v>0</v>
      </c>
      <c r="L523" s="7" t="s">
        <v>445</v>
      </c>
      <c r="M523" s="7" t="s">
        <v>446</v>
      </c>
      <c r="N523" s="7" t="s">
        <v>460</v>
      </c>
      <c r="O523" s="7" t="n">
        <v>77791.66</v>
      </c>
      <c r="P523" s="7" t="n">
        <v>77350.35</v>
      </c>
      <c r="Q523" s="7" t="n">
        <v>12.14</v>
      </c>
      <c r="R523" s="7" t="s">
        <v>69</v>
      </c>
    </row>
    <row r="524" customFormat="false" ht="15" hidden="false" customHeight="false" outlineLevel="0" collapsed="false">
      <c r="A524" s="7" t="s">
        <v>406</v>
      </c>
      <c r="B524" s="7" t="s">
        <v>64</v>
      </c>
      <c r="C524" s="7" t="n">
        <v>79298</v>
      </c>
      <c r="D524" s="7" t="n">
        <v>78100.6</v>
      </c>
      <c r="E524" s="7" t="n">
        <v>0.0153315083366836</v>
      </c>
      <c r="F524" s="7" t="s">
        <v>59</v>
      </c>
      <c r="G524" s="7" t="s">
        <v>444</v>
      </c>
      <c r="H524" s="7" t="s">
        <v>66</v>
      </c>
      <c r="I524" s="32" t="b">
        <f aca="false">TRUE()</f>
        <v>1</v>
      </c>
      <c r="J524" s="32" t="b">
        <f aca="false">FALSE()</f>
        <v>0</v>
      </c>
      <c r="K524" s="32" t="b">
        <f aca="false">FALSE()</f>
        <v>0</v>
      </c>
      <c r="L524" s="7" t="s">
        <v>445</v>
      </c>
      <c r="M524" s="7" t="s">
        <v>446</v>
      </c>
      <c r="N524" s="7" t="s">
        <v>590</v>
      </c>
      <c r="O524" s="7" t="n">
        <v>80062.51</v>
      </c>
      <c r="P524" s="7" t="n">
        <v>79179.05</v>
      </c>
      <c r="Q524" s="7" t="n">
        <v>17.08</v>
      </c>
      <c r="R524" s="7" t="s">
        <v>69</v>
      </c>
    </row>
    <row r="525" customFormat="false" ht="15" hidden="false" customHeight="false" outlineLevel="0" collapsed="false">
      <c r="A525" s="7" t="s">
        <v>407</v>
      </c>
      <c r="B525" s="7" t="s">
        <v>63</v>
      </c>
      <c r="C525" s="7" t="n">
        <v>81096</v>
      </c>
      <c r="D525" s="7" t="n">
        <v>81008.2</v>
      </c>
      <c r="E525" s="7" t="n">
        <v>0.0010838408951192</v>
      </c>
      <c r="F525" s="7" t="s">
        <v>60</v>
      </c>
      <c r="G525" s="7" t="s">
        <v>459</v>
      </c>
      <c r="H525" s="7" t="s">
        <v>66</v>
      </c>
      <c r="I525" s="32" t="b">
        <f aca="false">FALSE()</f>
        <v>0</v>
      </c>
      <c r="J525" s="32" t="b">
        <f aca="false">TRUE()</f>
        <v>1</v>
      </c>
      <c r="K525" s="32" t="b">
        <f aca="false">FALSE()</f>
        <v>0</v>
      </c>
      <c r="L525" s="7" t="s">
        <v>445</v>
      </c>
      <c r="M525" s="7" t="s">
        <v>446</v>
      </c>
      <c r="N525" s="7" t="s">
        <v>465</v>
      </c>
      <c r="O525" s="7" t="n">
        <v>81093.32</v>
      </c>
      <c r="P525" s="7" t="n">
        <v>80643.66</v>
      </c>
      <c r="Q525" s="7" t="n">
        <v>15.71</v>
      </c>
      <c r="R525" s="7" t="s">
        <v>69</v>
      </c>
    </row>
    <row r="526" customFormat="false" ht="15" hidden="false" customHeight="false" outlineLevel="0" collapsed="false">
      <c r="A526" s="7" t="s">
        <v>407</v>
      </c>
      <c r="B526" s="7" t="s">
        <v>64</v>
      </c>
      <c r="C526" s="7" t="n">
        <v>81249.8</v>
      </c>
      <c r="D526" s="7" t="n">
        <v>81160.3</v>
      </c>
      <c r="E526" s="7" t="n">
        <v>0.0011027559040565</v>
      </c>
      <c r="F526" s="7" t="s">
        <v>59</v>
      </c>
      <c r="G526" s="7" t="s">
        <v>444</v>
      </c>
      <c r="H526" s="7" t="s">
        <v>66</v>
      </c>
      <c r="I526" s="32" t="b">
        <f aca="false">TRUE()</f>
        <v>1</v>
      </c>
      <c r="J526" s="32" t="b">
        <f aca="false">FALSE()</f>
        <v>0</v>
      </c>
      <c r="K526" s="32" t="b">
        <f aca="false">FALSE()</f>
        <v>0</v>
      </c>
      <c r="L526" s="7" t="s">
        <v>445</v>
      </c>
      <c r="M526" s="7" t="s">
        <v>446</v>
      </c>
      <c r="N526" s="7" t="s">
        <v>523</v>
      </c>
      <c r="O526" s="7" t="n">
        <v>81335.36</v>
      </c>
      <c r="P526" s="7" t="n">
        <v>81127.93</v>
      </c>
      <c r="Q526" s="7" t="n">
        <v>11.49</v>
      </c>
      <c r="R526" s="7" t="s">
        <v>69</v>
      </c>
    </row>
    <row r="527" customFormat="false" ht="15" hidden="false" customHeight="false" outlineLevel="0" collapsed="false">
      <c r="A527" s="7" t="s">
        <v>408</v>
      </c>
      <c r="B527" s="7" t="s">
        <v>63</v>
      </c>
      <c r="C527" s="7" t="n">
        <v>80368.9</v>
      </c>
      <c r="D527" s="7" t="n">
        <v>80262.5</v>
      </c>
      <c r="E527" s="7" t="n">
        <v>0.0013256502102475</v>
      </c>
      <c r="F527" s="7" t="s">
        <v>60</v>
      </c>
      <c r="G527" s="7" t="s">
        <v>448</v>
      </c>
      <c r="H527" s="7" t="s">
        <v>67</v>
      </c>
      <c r="I527" s="32" t="b">
        <f aca="false">FALSE()</f>
        <v>0</v>
      </c>
      <c r="J527" s="32" t="b">
        <f aca="false">TRUE()</f>
        <v>1</v>
      </c>
      <c r="K527" s="32" t="b">
        <f aca="false">FALSE()</f>
        <v>0</v>
      </c>
      <c r="L527" s="7" t="s">
        <v>445</v>
      </c>
      <c r="M527" s="7" t="s">
        <v>446</v>
      </c>
      <c r="N527" s="7" t="s">
        <v>469</v>
      </c>
      <c r="O527" s="7" t="n">
        <v>80270.34</v>
      </c>
      <c r="P527" s="7" t="n">
        <v>80730.56</v>
      </c>
      <c r="Q527" s="7" t="n">
        <v>-65.29</v>
      </c>
      <c r="R527" s="7" t="s">
        <v>71</v>
      </c>
    </row>
    <row r="528" customFormat="false" ht="15" hidden="false" customHeight="false" outlineLevel="0" collapsed="false">
      <c r="A528" s="7" t="s">
        <v>408</v>
      </c>
      <c r="B528" s="7" t="s">
        <v>64</v>
      </c>
      <c r="C528" s="7" t="n">
        <v>80533.5</v>
      </c>
      <c r="D528" s="7" t="n">
        <v>80389</v>
      </c>
      <c r="E528" s="7" t="n">
        <v>0.0017975096095236</v>
      </c>
      <c r="F528" s="7" t="s">
        <v>60</v>
      </c>
      <c r="G528" s="7" t="s">
        <v>448</v>
      </c>
      <c r="H528" s="7" t="s">
        <v>67</v>
      </c>
      <c r="I528" s="32" t="b">
        <f aca="false">FALSE()</f>
        <v>0</v>
      </c>
      <c r="J528" s="32" t="b">
        <f aca="false">TRUE()</f>
        <v>1</v>
      </c>
      <c r="K528" s="32" t="b">
        <f aca="false">FALSE()</f>
        <v>0</v>
      </c>
      <c r="L528" s="7" t="s">
        <v>445</v>
      </c>
      <c r="M528" s="7" t="s">
        <v>446</v>
      </c>
      <c r="N528" s="7" t="s">
        <v>449</v>
      </c>
      <c r="O528" s="7" t="n">
        <v>80516.69</v>
      </c>
      <c r="P528" s="7" t="n">
        <v>80895.9</v>
      </c>
      <c r="Q528" s="7" t="n">
        <v>-86.49</v>
      </c>
      <c r="R528" s="7" t="s">
        <v>70</v>
      </c>
    </row>
    <row r="529" customFormat="false" ht="15" hidden="false" customHeight="false" outlineLevel="0" collapsed="false">
      <c r="A529" s="7" t="s">
        <v>591</v>
      </c>
      <c r="B529" s="7" t="s">
        <v>63</v>
      </c>
      <c r="C529" s="7" t="n">
        <v>81586.6</v>
      </c>
      <c r="D529" s="7" t="n">
        <v>81433.2</v>
      </c>
      <c r="E529" s="7" t="n">
        <v>0.0018837525726608</v>
      </c>
      <c r="F529" s="7" t="s">
        <v>450</v>
      </c>
      <c r="G529" s="7" t="s">
        <v>451</v>
      </c>
      <c r="H529" s="7" t="s">
        <v>450</v>
      </c>
      <c r="I529" s="32" t="b">
        <f aca="false">FALSE()</f>
        <v>0</v>
      </c>
      <c r="J529" s="32" t="b">
        <f aca="false">FALSE()</f>
        <v>0</v>
      </c>
      <c r="K529" s="32" t="b">
        <f aca="false">FALSE()</f>
        <v>0</v>
      </c>
      <c r="L529" s="7" t="s">
        <v>445</v>
      </c>
      <c r="M529" s="7" t="s">
        <v>452</v>
      </c>
      <c r="N529" s="7" t="s">
        <v>453</v>
      </c>
      <c r="O529" s="7"/>
      <c r="P529" s="7"/>
      <c r="Q529" s="7"/>
      <c r="R529" s="7"/>
    </row>
    <row r="530" customFormat="false" ht="15" hidden="false" customHeight="false" outlineLevel="0" collapsed="false">
      <c r="A530" s="7" t="s">
        <v>591</v>
      </c>
      <c r="B530" s="7" t="s">
        <v>64</v>
      </c>
      <c r="C530" s="7" t="n">
        <v>85190</v>
      </c>
      <c r="D530" s="7" t="n">
        <v>84724.9</v>
      </c>
      <c r="E530" s="7" t="n">
        <v>0.0054895314128432</v>
      </c>
      <c r="F530" s="7" t="s">
        <v>450</v>
      </c>
      <c r="G530" s="7" t="s">
        <v>451</v>
      </c>
      <c r="H530" s="7" t="s">
        <v>450</v>
      </c>
      <c r="I530" s="32" t="b">
        <f aca="false">FALSE()</f>
        <v>0</v>
      </c>
      <c r="J530" s="32" t="b">
        <f aca="false">FALSE()</f>
        <v>0</v>
      </c>
      <c r="K530" s="32" t="b">
        <f aca="false">FALSE()</f>
        <v>0</v>
      </c>
      <c r="L530" s="7" t="s">
        <v>445</v>
      </c>
      <c r="M530" s="7" t="s">
        <v>452</v>
      </c>
      <c r="N530" s="7" t="s">
        <v>453</v>
      </c>
      <c r="O530" s="7"/>
      <c r="P530" s="7"/>
      <c r="Q530" s="7"/>
      <c r="R530" s="7"/>
    </row>
    <row r="531" customFormat="false" ht="15" hidden="false" customHeight="false" outlineLevel="0" collapsed="false">
      <c r="A531" s="7" t="s">
        <v>592</v>
      </c>
      <c r="B531" s="7" t="s">
        <v>63</v>
      </c>
      <c r="C531" s="7" t="n">
        <v>85299.8</v>
      </c>
      <c r="D531" s="7" t="n">
        <v>85132</v>
      </c>
      <c r="E531" s="7" t="n">
        <v>0.0019710567119297</v>
      </c>
      <c r="F531" s="7" t="s">
        <v>450</v>
      </c>
      <c r="G531" s="7" t="s">
        <v>451</v>
      </c>
      <c r="H531" s="7" t="s">
        <v>450</v>
      </c>
      <c r="I531" s="32" t="b">
        <f aca="false">FALSE()</f>
        <v>0</v>
      </c>
      <c r="J531" s="32" t="b">
        <f aca="false">FALSE()</f>
        <v>0</v>
      </c>
      <c r="K531" s="32" t="b">
        <f aca="false">FALSE()</f>
        <v>0</v>
      </c>
      <c r="L531" s="7" t="s">
        <v>445</v>
      </c>
      <c r="M531" s="7" t="s">
        <v>452</v>
      </c>
      <c r="N531" s="7" t="s">
        <v>453</v>
      </c>
      <c r="O531" s="7"/>
      <c r="P531" s="7"/>
      <c r="Q531" s="7"/>
      <c r="R531" s="7"/>
    </row>
    <row r="532" customFormat="false" ht="15" hidden="false" customHeight="false" outlineLevel="0" collapsed="false">
      <c r="A532" s="7" t="s">
        <v>592</v>
      </c>
      <c r="B532" s="7" t="s">
        <v>64</v>
      </c>
      <c r="C532" s="7" t="n">
        <v>86131.1</v>
      </c>
      <c r="D532" s="7" t="n">
        <v>85519.5</v>
      </c>
      <c r="E532" s="7" t="n">
        <v>0.0071515853109525</v>
      </c>
      <c r="F532" s="7" t="s">
        <v>450</v>
      </c>
      <c r="G532" s="7" t="s">
        <v>451</v>
      </c>
      <c r="H532" s="7" t="s">
        <v>450</v>
      </c>
      <c r="I532" s="32" t="b">
        <f aca="false">FALSE()</f>
        <v>0</v>
      </c>
      <c r="J532" s="32" t="b">
        <f aca="false">FALSE()</f>
        <v>0</v>
      </c>
      <c r="K532" s="32" t="b">
        <f aca="false">FALSE()</f>
        <v>0</v>
      </c>
      <c r="L532" s="7" t="s">
        <v>445</v>
      </c>
      <c r="M532" s="7" t="s">
        <v>452</v>
      </c>
      <c r="N532" s="7" t="s">
        <v>453</v>
      </c>
      <c r="O532" s="7"/>
      <c r="P532" s="7"/>
      <c r="Q532" s="7"/>
      <c r="R532" s="7"/>
    </row>
    <row r="533" customFormat="false" ht="15" hidden="false" customHeight="false" outlineLevel="0" collapsed="false">
      <c r="A533" s="7" t="s">
        <v>409</v>
      </c>
      <c r="B533" s="7" t="s">
        <v>63</v>
      </c>
      <c r="C533" s="7" t="n">
        <v>86383.5</v>
      </c>
      <c r="D533" s="7" t="n">
        <v>85951.2</v>
      </c>
      <c r="E533" s="7" t="n">
        <v>0.0050295981906012</v>
      </c>
      <c r="F533" s="7" t="s">
        <v>450</v>
      </c>
      <c r="G533" s="7" t="s">
        <v>451</v>
      </c>
      <c r="H533" s="7" t="s">
        <v>450</v>
      </c>
      <c r="I533" s="32" t="b">
        <f aca="false">FALSE()</f>
        <v>0</v>
      </c>
      <c r="J533" s="32" t="b">
        <f aca="false">FALSE()</f>
        <v>0</v>
      </c>
      <c r="K533" s="32" t="b">
        <f aca="false">FALSE()</f>
        <v>0</v>
      </c>
      <c r="L533" s="7" t="s">
        <v>445</v>
      </c>
      <c r="M533" s="7" t="s">
        <v>452</v>
      </c>
      <c r="N533" s="7" t="s">
        <v>453</v>
      </c>
      <c r="O533" s="7"/>
      <c r="P533" s="7"/>
      <c r="Q533" s="7"/>
      <c r="R533" s="7"/>
    </row>
    <row r="534" customFormat="false" ht="15" hidden="false" customHeight="false" outlineLevel="0" collapsed="false">
      <c r="A534" s="7" t="s">
        <v>409</v>
      </c>
      <c r="B534" s="7" t="s">
        <v>64</v>
      </c>
      <c r="C534" s="7" t="n">
        <v>85837.9</v>
      </c>
      <c r="D534" s="7" t="n">
        <v>85480.2</v>
      </c>
      <c r="E534" s="7" t="n">
        <v>0.0041845947950519</v>
      </c>
      <c r="F534" s="7" t="s">
        <v>60</v>
      </c>
      <c r="G534" s="7" t="s">
        <v>459</v>
      </c>
      <c r="H534" s="7" t="s">
        <v>66</v>
      </c>
      <c r="I534" s="32" t="b">
        <f aca="false">FALSE()</f>
        <v>0</v>
      </c>
      <c r="J534" s="32" t="b">
        <f aca="false">TRUE()</f>
        <v>1</v>
      </c>
      <c r="K534" s="32" t="b">
        <f aca="false">FALSE()</f>
        <v>0</v>
      </c>
      <c r="L534" s="7" t="s">
        <v>445</v>
      </c>
      <c r="M534" s="7" t="s">
        <v>446</v>
      </c>
      <c r="N534" s="7" t="s">
        <v>460</v>
      </c>
      <c r="O534" s="7" t="n">
        <v>85772.15</v>
      </c>
      <c r="P534" s="7" t="n">
        <v>85095.54</v>
      </c>
      <c r="Q534" s="7" t="n">
        <v>-69.95</v>
      </c>
      <c r="R534" s="7" t="s">
        <v>70</v>
      </c>
    </row>
    <row r="535" customFormat="false" ht="15" hidden="false" customHeight="false" outlineLevel="0" collapsed="false">
      <c r="A535" s="7" t="s">
        <v>410</v>
      </c>
      <c r="B535" s="7" t="s">
        <v>63</v>
      </c>
      <c r="C535" s="7" t="n">
        <v>84537.7</v>
      </c>
      <c r="D535" s="7" t="n">
        <v>84331.4</v>
      </c>
      <c r="E535" s="7" t="n">
        <v>0.0024463011405004</v>
      </c>
      <c r="F535" s="7" t="s">
        <v>60</v>
      </c>
      <c r="G535" s="7" t="s">
        <v>459</v>
      </c>
      <c r="H535" s="7" t="s">
        <v>66</v>
      </c>
      <c r="I535" s="32" t="b">
        <f aca="false">FALSE()</f>
        <v>0</v>
      </c>
      <c r="J535" s="32" t="b">
        <f aca="false">TRUE()</f>
        <v>1</v>
      </c>
      <c r="K535" s="32" t="b">
        <f aca="false">FALSE()</f>
        <v>0</v>
      </c>
      <c r="L535" s="7" t="s">
        <v>445</v>
      </c>
      <c r="M535" s="7" t="s">
        <v>446</v>
      </c>
      <c r="N535" s="7" t="s">
        <v>465</v>
      </c>
      <c r="O535" s="7" t="n">
        <v>84484.89</v>
      </c>
      <c r="P535" s="7" t="n">
        <v>83951.91</v>
      </c>
      <c r="Q535" s="7" t="n">
        <v>-114.35</v>
      </c>
      <c r="R535" s="7" t="s">
        <v>70</v>
      </c>
    </row>
    <row r="536" customFormat="false" ht="15" hidden="false" customHeight="false" outlineLevel="0" collapsed="false">
      <c r="A536" s="7" t="s">
        <v>410</v>
      </c>
      <c r="B536" s="7" t="s">
        <v>64</v>
      </c>
      <c r="C536" s="7" t="n">
        <v>84302.9</v>
      </c>
      <c r="D536" s="7" t="n">
        <v>83719.6</v>
      </c>
      <c r="E536" s="7" t="n">
        <v>0.0069673051471816</v>
      </c>
      <c r="F536" s="7" t="s">
        <v>450</v>
      </c>
      <c r="G536" s="7" t="s">
        <v>451</v>
      </c>
      <c r="H536" s="7" t="s">
        <v>450</v>
      </c>
      <c r="I536" s="32" t="b">
        <f aca="false">FALSE()</f>
        <v>0</v>
      </c>
      <c r="J536" s="32" t="b">
        <f aca="false">FALSE()</f>
        <v>0</v>
      </c>
      <c r="K536" s="32" t="b">
        <f aca="false">FALSE()</f>
        <v>0</v>
      </c>
      <c r="L536" s="7" t="s">
        <v>445</v>
      </c>
      <c r="M536" s="7" t="s">
        <v>452</v>
      </c>
      <c r="N536" s="7" t="s">
        <v>458</v>
      </c>
      <c r="O536" s="7"/>
      <c r="P536" s="7"/>
      <c r="Q536" s="7"/>
      <c r="R536" s="7"/>
    </row>
    <row r="537" customFormat="false" ht="15" hidden="false" customHeight="false" outlineLevel="0" collapsed="false">
      <c r="A537" s="7" t="s">
        <v>593</v>
      </c>
      <c r="B537" s="7" t="s">
        <v>63</v>
      </c>
      <c r="C537" s="7" t="n">
        <v>84059.9</v>
      </c>
      <c r="D537" s="7" t="n">
        <v>83769.9</v>
      </c>
      <c r="E537" s="7" t="n">
        <v>0.0034618639869451</v>
      </c>
      <c r="F537" s="7" t="s">
        <v>450</v>
      </c>
      <c r="G537" s="7" t="s">
        <v>451</v>
      </c>
      <c r="H537" s="7" t="s">
        <v>450</v>
      </c>
      <c r="I537" s="32" t="b">
        <f aca="false">FALSE()</f>
        <v>0</v>
      </c>
      <c r="J537" s="32" t="b">
        <f aca="false">FALSE()</f>
        <v>0</v>
      </c>
      <c r="K537" s="32" t="b">
        <f aca="false">FALSE()</f>
        <v>0</v>
      </c>
      <c r="L537" s="7" t="s">
        <v>445</v>
      </c>
      <c r="M537" s="7" t="s">
        <v>452</v>
      </c>
      <c r="N537" s="7" t="s">
        <v>458</v>
      </c>
      <c r="O537" s="7"/>
      <c r="P537" s="7"/>
      <c r="Q537" s="7"/>
      <c r="R537" s="7"/>
    </row>
    <row r="538" customFormat="false" ht="15" hidden="false" customHeight="false" outlineLevel="0" collapsed="false">
      <c r="A538" s="7" t="s">
        <v>593</v>
      </c>
      <c r="B538" s="7" t="s">
        <v>64</v>
      </c>
      <c r="C538" s="7" t="n">
        <v>84306.3</v>
      </c>
      <c r="D538" s="7" t="n">
        <v>83752.4</v>
      </c>
      <c r="E538" s="7" t="n">
        <v>0.0066135418208912</v>
      </c>
      <c r="F538" s="7" t="s">
        <v>450</v>
      </c>
      <c r="G538" s="7" t="s">
        <v>451</v>
      </c>
      <c r="H538" s="7" t="s">
        <v>450</v>
      </c>
      <c r="I538" s="32" t="b">
        <f aca="false">FALSE()</f>
        <v>0</v>
      </c>
      <c r="J538" s="32" t="b">
        <f aca="false">FALSE()</f>
        <v>0</v>
      </c>
      <c r="K538" s="32" t="b">
        <f aca="false">FALSE()</f>
        <v>0</v>
      </c>
      <c r="L538" s="7" t="s">
        <v>445</v>
      </c>
      <c r="M538" s="7" t="s">
        <v>452</v>
      </c>
      <c r="N538" s="7" t="s">
        <v>458</v>
      </c>
      <c r="O538" s="7"/>
      <c r="P538" s="7"/>
      <c r="Q538" s="7"/>
      <c r="R538" s="7"/>
    </row>
    <row r="539" customFormat="false" ht="15" hidden="false" customHeight="false" outlineLevel="0" collapsed="false">
      <c r="A539" s="7" t="s">
        <v>594</v>
      </c>
      <c r="B539" s="7" t="s">
        <v>63</v>
      </c>
      <c r="C539" s="7" t="n">
        <v>84028.1</v>
      </c>
      <c r="D539" s="7" t="n">
        <v>83975</v>
      </c>
      <c r="E539" s="7" t="n">
        <v>0.000632331050908</v>
      </c>
      <c r="F539" s="7" t="s">
        <v>450</v>
      </c>
      <c r="G539" s="7" t="s">
        <v>451</v>
      </c>
      <c r="H539" s="7" t="s">
        <v>450</v>
      </c>
      <c r="I539" s="32" t="b">
        <f aca="false">FALSE()</f>
        <v>0</v>
      </c>
      <c r="J539" s="32" t="b">
        <f aca="false">FALSE()</f>
        <v>0</v>
      </c>
      <c r="K539" s="32" t="b">
        <f aca="false">FALSE()</f>
        <v>0</v>
      </c>
      <c r="L539" s="7" t="s">
        <v>445</v>
      </c>
      <c r="M539" s="7" t="s">
        <v>452</v>
      </c>
      <c r="N539" s="7" t="s">
        <v>453</v>
      </c>
      <c r="O539" s="7"/>
      <c r="P539" s="7"/>
      <c r="Q539" s="7"/>
      <c r="R539" s="7"/>
    </row>
    <row r="540" customFormat="false" ht="15" hidden="false" customHeight="false" outlineLevel="0" collapsed="false">
      <c r="A540" s="7" t="s">
        <v>594</v>
      </c>
      <c r="B540" s="7" t="s">
        <v>64</v>
      </c>
      <c r="C540" s="7" t="n">
        <v>83901.3</v>
      </c>
      <c r="D540" s="7" t="n">
        <v>83815.4</v>
      </c>
      <c r="E540" s="7" t="n">
        <v>0.0010248713243629</v>
      </c>
      <c r="F540" s="7" t="s">
        <v>450</v>
      </c>
      <c r="G540" s="7" t="s">
        <v>451</v>
      </c>
      <c r="H540" s="7" t="s">
        <v>450</v>
      </c>
      <c r="I540" s="32" t="b">
        <f aca="false">FALSE()</f>
        <v>0</v>
      </c>
      <c r="J540" s="32" t="b">
        <f aca="false">FALSE()</f>
        <v>0</v>
      </c>
      <c r="K540" s="32" t="b">
        <f aca="false">FALSE()</f>
        <v>0</v>
      </c>
      <c r="L540" s="7" t="s">
        <v>445</v>
      </c>
      <c r="M540" s="7" t="s">
        <v>452</v>
      </c>
      <c r="N540" s="7" t="s">
        <v>453</v>
      </c>
      <c r="O540" s="7"/>
      <c r="P540" s="7"/>
      <c r="Q540" s="7"/>
      <c r="R540" s="7"/>
    </row>
    <row r="541" customFormat="false" ht="15" hidden="false" customHeight="false" outlineLevel="0" collapsed="false">
      <c r="A541" s="7" t="s">
        <v>411</v>
      </c>
      <c r="B541" s="7" t="s">
        <v>63</v>
      </c>
      <c r="C541" s="7" t="n">
        <v>84588</v>
      </c>
      <c r="D541" s="7" t="n">
        <v>84483.1</v>
      </c>
      <c r="E541" s="7" t="n">
        <v>0.0012416684520335</v>
      </c>
      <c r="F541" s="7" t="s">
        <v>59</v>
      </c>
      <c r="G541" s="7" t="s">
        <v>444</v>
      </c>
      <c r="H541" s="7" t="s">
        <v>66</v>
      </c>
      <c r="I541" s="32" t="b">
        <f aca="false">TRUE()</f>
        <v>1</v>
      </c>
      <c r="J541" s="32" t="b">
        <f aca="false">FALSE()</f>
        <v>0</v>
      </c>
      <c r="K541" s="32" t="b">
        <f aca="false">FALSE()</f>
        <v>0</v>
      </c>
      <c r="L541" s="7" t="s">
        <v>445</v>
      </c>
      <c r="M541" s="7" t="s">
        <v>446</v>
      </c>
      <c r="N541" s="7" t="s">
        <v>532</v>
      </c>
      <c r="O541" s="7" t="n">
        <v>84768.25</v>
      </c>
      <c r="P541" s="7" t="n">
        <v>84461.12</v>
      </c>
      <c r="Q541" s="7" t="n">
        <v>12.46</v>
      </c>
      <c r="R541" s="7" t="s">
        <v>69</v>
      </c>
    </row>
    <row r="542" customFormat="false" ht="15" hidden="false" customHeight="false" outlineLevel="0" collapsed="false">
      <c r="A542" s="7" t="s">
        <v>411</v>
      </c>
      <c r="B542" s="7" t="s">
        <v>64</v>
      </c>
      <c r="C542" s="7" t="n">
        <v>85146.4</v>
      </c>
      <c r="D542" s="7" t="n">
        <v>84741.5</v>
      </c>
      <c r="E542" s="7" t="n">
        <v>0.0047780603364348</v>
      </c>
      <c r="F542" s="7" t="s">
        <v>60</v>
      </c>
      <c r="G542" s="7" t="s">
        <v>459</v>
      </c>
      <c r="H542" s="7" t="s">
        <v>66</v>
      </c>
      <c r="I542" s="32" t="b">
        <f aca="false">FALSE()</f>
        <v>0</v>
      </c>
      <c r="J542" s="32" t="b">
        <f aca="false">TRUE()</f>
        <v>1</v>
      </c>
      <c r="K542" s="32" t="b">
        <f aca="false">FALSE()</f>
        <v>0</v>
      </c>
      <c r="L542" s="7" t="s">
        <v>445</v>
      </c>
      <c r="M542" s="7" t="s">
        <v>446</v>
      </c>
      <c r="N542" s="7" t="s">
        <v>465</v>
      </c>
      <c r="O542" s="7" t="n">
        <v>85008.8</v>
      </c>
      <c r="P542" s="7" t="n">
        <v>84360.16</v>
      </c>
      <c r="Q542" s="7" t="n">
        <v>-67.49</v>
      </c>
      <c r="R542" s="7" t="s">
        <v>70</v>
      </c>
    </row>
    <row r="543" customFormat="false" ht="15" hidden="false" customHeight="false" outlineLevel="0" collapsed="false">
      <c r="A543" s="7" t="s">
        <v>412</v>
      </c>
      <c r="B543" s="7" t="s">
        <v>63</v>
      </c>
      <c r="C543" s="7" t="n">
        <v>83018.4</v>
      </c>
      <c r="D543" s="7" t="n">
        <v>82870</v>
      </c>
      <c r="E543" s="7" t="n">
        <v>0.0017907566067333</v>
      </c>
      <c r="F543" s="7" t="s">
        <v>60</v>
      </c>
      <c r="G543" s="7" t="s">
        <v>448</v>
      </c>
      <c r="H543" s="7" t="s">
        <v>67</v>
      </c>
      <c r="I543" s="32" t="b">
        <f aca="false">FALSE()</f>
        <v>0</v>
      </c>
      <c r="J543" s="32" t="b">
        <f aca="false">TRUE()</f>
        <v>1</v>
      </c>
      <c r="K543" s="32" t="b">
        <f aca="false">FALSE()</f>
        <v>0</v>
      </c>
      <c r="L543" s="7" t="s">
        <v>445</v>
      </c>
      <c r="M543" s="7" t="s">
        <v>446</v>
      </c>
      <c r="N543" s="7" t="s">
        <v>449</v>
      </c>
      <c r="O543" s="7" t="n">
        <v>82897.82</v>
      </c>
      <c r="P543" s="7" t="n">
        <v>83391.98</v>
      </c>
      <c r="Q543" s="7" t="n">
        <v>21.03</v>
      </c>
      <c r="R543" s="7" t="s">
        <v>69</v>
      </c>
    </row>
    <row r="544" customFormat="false" ht="15" hidden="false" customHeight="false" outlineLevel="0" collapsed="false">
      <c r="A544" s="7" t="s">
        <v>412</v>
      </c>
      <c r="B544" s="7" t="s">
        <v>64</v>
      </c>
      <c r="C544" s="7" t="n">
        <v>83793.6</v>
      </c>
      <c r="D544" s="7" t="n">
        <v>83349.4</v>
      </c>
      <c r="E544" s="7" t="n">
        <v>0.0053293724969827</v>
      </c>
      <c r="F544" s="7" t="s">
        <v>60</v>
      </c>
      <c r="G544" s="7" t="s">
        <v>448</v>
      </c>
      <c r="H544" s="7" t="s">
        <v>67</v>
      </c>
      <c r="I544" s="32" t="b">
        <f aca="false">FALSE()</f>
        <v>0</v>
      </c>
      <c r="J544" s="32" t="b">
        <f aca="false">TRUE()</f>
        <v>1</v>
      </c>
      <c r="K544" s="32" t="b">
        <f aca="false">FALSE()</f>
        <v>0</v>
      </c>
      <c r="L544" s="7" t="s">
        <v>445</v>
      </c>
      <c r="M544" s="7" t="s">
        <v>446</v>
      </c>
      <c r="N544" s="7" t="s">
        <v>472</v>
      </c>
      <c r="O544" s="7" t="n">
        <v>83592.38</v>
      </c>
      <c r="P544" s="7" t="n">
        <v>84170.67</v>
      </c>
      <c r="Q544" s="7" t="n">
        <v>4.28</v>
      </c>
      <c r="R544" s="7" t="s">
        <v>69</v>
      </c>
    </row>
    <row r="545" customFormat="false" ht="15" hidden="false" customHeight="false" outlineLevel="0" collapsed="false">
      <c r="A545" s="7" t="s">
        <v>413</v>
      </c>
      <c r="B545" s="7" t="s">
        <v>63</v>
      </c>
      <c r="C545" s="7" t="n">
        <v>84164</v>
      </c>
      <c r="D545" s="7" t="n">
        <v>83917.7</v>
      </c>
      <c r="E545" s="7" t="n">
        <v>0.0029350184764358</v>
      </c>
      <c r="F545" s="7" t="s">
        <v>450</v>
      </c>
      <c r="G545" s="7" t="s">
        <v>451</v>
      </c>
      <c r="H545" s="7" t="s">
        <v>450</v>
      </c>
      <c r="I545" s="32" t="b">
        <f aca="false">FALSE()</f>
        <v>0</v>
      </c>
      <c r="J545" s="32" t="b">
        <f aca="false">FALSE()</f>
        <v>0</v>
      </c>
      <c r="K545" s="32" t="b">
        <f aca="false">FALSE()</f>
        <v>0</v>
      </c>
      <c r="L545" s="7" t="s">
        <v>445</v>
      </c>
      <c r="M545" s="7" t="s">
        <v>452</v>
      </c>
      <c r="N545" s="7" t="s">
        <v>453</v>
      </c>
      <c r="O545" s="7"/>
      <c r="P545" s="7"/>
      <c r="Q545" s="7"/>
      <c r="R545" s="7"/>
    </row>
    <row r="546" customFormat="false" ht="15" hidden="false" customHeight="false" outlineLevel="0" collapsed="false">
      <c r="A546" s="7" t="s">
        <v>413</v>
      </c>
      <c r="B546" s="7" t="s">
        <v>64</v>
      </c>
      <c r="C546" s="7" t="n">
        <v>84316.9</v>
      </c>
      <c r="D546" s="7" t="n">
        <v>83971</v>
      </c>
      <c r="E546" s="7" t="n">
        <v>0.0041192792749877</v>
      </c>
      <c r="F546" s="7" t="s">
        <v>60</v>
      </c>
      <c r="G546" s="7" t="s">
        <v>448</v>
      </c>
      <c r="H546" s="7" t="s">
        <v>67</v>
      </c>
      <c r="I546" s="32" t="b">
        <f aca="false">FALSE()</f>
        <v>0</v>
      </c>
      <c r="J546" s="32" t="b">
        <f aca="false">TRUE()</f>
        <v>1</v>
      </c>
      <c r="K546" s="32" t="b">
        <f aca="false">FALSE()</f>
        <v>0</v>
      </c>
      <c r="L546" s="7" t="s">
        <v>445</v>
      </c>
      <c r="M546" s="7" t="s">
        <v>446</v>
      </c>
      <c r="N546" s="7" t="s">
        <v>449</v>
      </c>
      <c r="O546" s="7" t="n">
        <v>84140.67</v>
      </c>
      <c r="P546" s="7" t="n">
        <v>84696.33</v>
      </c>
      <c r="Q546" s="7" t="n">
        <v>19.01</v>
      </c>
      <c r="R546" s="7" t="s">
        <v>69</v>
      </c>
    </row>
    <row r="547" customFormat="false" ht="15" hidden="false" customHeight="false" outlineLevel="0" collapsed="false">
      <c r="A547" s="7" t="s">
        <v>414</v>
      </c>
      <c r="B547" s="7" t="s">
        <v>63</v>
      </c>
      <c r="C547" s="7" t="n">
        <v>83396.1</v>
      </c>
      <c r="D547" s="7" t="n">
        <v>83222.1</v>
      </c>
      <c r="E547" s="7" t="n">
        <v>0.0020907907875432</v>
      </c>
      <c r="F547" s="7" t="s">
        <v>60</v>
      </c>
      <c r="G547" s="7" t="s">
        <v>448</v>
      </c>
      <c r="H547" s="7" t="s">
        <v>67</v>
      </c>
      <c r="I547" s="32" t="b">
        <f aca="false">FALSE()</f>
        <v>0</v>
      </c>
      <c r="J547" s="32" t="b">
        <f aca="false">TRUE()</f>
        <v>1</v>
      </c>
      <c r="K547" s="32" t="b">
        <f aca="false">FALSE()</f>
        <v>0</v>
      </c>
      <c r="L547" s="7" t="s">
        <v>445</v>
      </c>
      <c r="M547" s="7" t="s">
        <v>446</v>
      </c>
      <c r="N547" s="7" t="s">
        <v>472</v>
      </c>
      <c r="O547" s="7" t="n">
        <v>83242.05</v>
      </c>
      <c r="P547" s="7" t="n">
        <v>83771.38</v>
      </c>
      <c r="Q547" s="7" t="n">
        <v>-113.67</v>
      </c>
      <c r="R547" s="7" t="s">
        <v>70</v>
      </c>
    </row>
    <row r="548" customFormat="false" ht="15" hidden="false" customHeight="false" outlineLevel="0" collapsed="false">
      <c r="A548" s="7" t="s">
        <v>414</v>
      </c>
      <c r="B548" s="7" t="s">
        <v>64</v>
      </c>
      <c r="C548" s="7" t="n">
        <v>85529.9</v>
      </c>
      <c r="D548" s="7" t="n">
        <v>83963.8</v>
      </c>
      <c r="E548" s="7" t="n">
        <v>0.018652085779824</v>
      </c>
      <c r="F548" s="7" t="s">
        <v>450</v>
      </c>
      <c r="G548" s="7" t="s">
        <v>451</v>
      </c>
      <c r="H548" s="7" t="s">
        <v>450</v>
      </c>
      <c r="I548" s="32" t="b">
        <f aca="false">FALSE()</f>
        <v>0</v>
      </c>
      <c r="J548" s="32" t="b">
        <f aca="false">FALSE()</f>
        <v>0</v>
      </c>
      <c r="K548" s="32" t="b">
        <f aca="false">FALSE()</f>
        <v>0</v>
      </c>
      <c r="L548" s="7" t="s">
        <v>445</v>
      </c>
      <c r="M548" s="7" t="s">
        <v>452</v>
      </c>
      <c r="N548" s="7" t="s">
        <v>453</v>
      </c>
      <c r="O548" s="7"/>
      <c r="P548" s="7"/>
      <c r="Q548" s="7"/>
      <c r="R548" s="7"/>
    </row>
    <row r="549" customFormat="false" ht="15" hidden="false" customHeight="false" outlineLevel="0" collapsed="false">
      <c r="A549" s="7" t="s">
        <v>415</v>
      </c>
      <c r="B549" s="7" t="s">
        <v>63</v>
      </c>
      <c r="C549" s="7" t="n">
        <v>83624.5</v>
      </c>
      <c r="D549" s="7" t="n">
        <v>83305</v>
      </c>
      <c r="E549" s="7" t="n">
        <v>0.0038353040033611</v>
      </c>
      <c r="F549" s="7" t="s">
        <v>60</v>
      </c>
      <c r="G549" s="7" t="s">
        <v>459</v>
      </c>
      <c r="H549" s="7" t="s">
        <v>66</v>
      </c>
      <c r="I549" s="32" t="b">
        <f aca="false">FALSE()</f>
        <v>0</v>
      </c>
      <c r="J549" s="32" t="b">
        <f aca="false">TRUE()</f>
        <v>1</v>
      </c>
      <c r="K549" s="32" t="b">
        <f aca="false">FALSE()</f>
        <v>0</v>
      </c>
      <c r="L549" s="7" t="s">
        <v>445</v>
      </c>
      <c r="M549" s="7" t="s">
        <v>446</v>
      </c>
      <c r="N549" s="7" t="s">
        <v>569</v>
      </c>
      <c r="O549" s="7" t="n">
        <v>83398.48</v>
      </c>
      <c r="P549" s="7" t="n">
        <v>82930.13</v>
      </c>
      <c r="Q549" s="7" t="n">
        <v>29.86</v>
      </c>
      <c r="R549" s="7" t="s">
        <v>69</v>
      </c>
    </row>
    <row r="550" customFormat="false" ht="15" hidden="false" customHeight="false" outlineLevel="0" collapsed="false">
      <c r="A550" s="7" t="s">
        <v>415</v>
      </c>
      <c r="B550" s="7" t="s">
        <v>64</v>
      </c>
      <c r="C550" s="7" t="n">
        <v>83943.7</v>
      </c>
      <c r="D550" s="7" t="n">
        <v>83426.9</v>
      </c>
      <c r="E550" s="7" t="n">
        <v>0.0061946446529836</v>
      </c>
      <c r="F550" s="7" t="s">
        <v>60</v>
      </c>
      <c r="G550" s="7" t="s">
        <v>448</v>
      </c>
      <c r="H550" s="7" t="s">
        <v>67</v>
      </c>
      <c r="I550" s="32" t="b">
        <f aca="false">FALSE()</f>
        <v>0</v>
      </c>
      <c r="J550" s="32" t="b">
        <f aca="false">TRUE()</f>
        <v>1</v>
      </c>
      <c r="K550" s="32" t="b">
        <f aca="false">FALSE()</f>
        <v>0</v>
      </c>
      <c r="L550" s="7" t="s">
        <v>445</v>
      </c>
      <c r="M550" s="7" t="s">
        <v>446</v>
      </c>
      <c r="N550" s="7" t="s">
        <v>449</v>
      </c>
      <c r="O550" s="7" t="n">
        <v>83884.52</v>
      </c>
      <c r="P550" s="7" t="n">
        <v>84321.45</v>
      </c>
      <c r="Q550" s="7" t="n">
        <v>21.75</v>
      </c>
      <c r="R550" s="7" t="s">
        <v>69</v>
      </c>
    </row>
    <row r="551" customFormat="false" ht="15" hidden="false" customHeight="false" outlineLevel="0" collapsed="false">
      <c r="A551" s="7" t="s">
        <v>595</v>
      </c>
      <c r="B551" s="7" t="s">
        <v>63</v>
      </c>
      <c r="C551" s="7" t="n">
        <v>85912.6</v>
      </c>
      <c r="D551" s="7" t="n">
        <v>85734.6</v>
      </c>
      <c r="E551" s="7" t="n">
        <v>0.0020761746132833</v>
      </c>
      <c r="F551" s="7" t="s">
        <v>450</v>
      </c>
      <c r="G551" s="7" t="s">
        <v>451</v>
      </c>
      <c r="H551" s="7" t="s">
        <v>450</v>
      </c>
      <c r="I551" s="32" t="b">
        <f aca="false">FALSE()</f>
        <v>0</v>
      </c>
      <c r="J551" s="32" t="b">
        <f aca="false">FALSE()</f>
        <v>0</v>
      </c>
      <c r="K551" s="32" t="b">
        <f aca="false">FALSE()</f>
        <v>0</v>
      </c>
      <c r="L551" s="7" t="s">
        <v>445</v>
      </c>
      <c r="M551" s="7" t="s">
        <v>452</v>
      </c>
      <c r="N551" s="7" t="s">
        <v>453</v>
      </c>
      <c r="O551" s="7"/>
      <c r="P551" s="7"/>
      <c r="Q551" s="7"/>
      <c r="R551" s="7"/>
    </row>
    <row r="552" customFormat="false" ht="15" hidden="false" customHeight="false" outlineLevel="0" collapsed="false">
      <c r="A552" s="7" t="s">
        <v>595</v>
      </c>
      <c r="B552" s="7" t="s">
        <v>64</v>
      </c>
      <c r="C552" s="7" t="n">
        <v>87123</v>
      </c>
      <c r="D552" s="7" t="n">
        <v>86525</v>
      </c>
      <c r="E552" s="7" t="n">
        <v>0.0069112973129153</v>
      </c>
      <c r="F552" s="7" t="s">
        <v>450</v>
      </c>
      <c r="G552" s="7" t="s">
        <v>451</v>
      </c>
      <c r="H552" s="7" t="s">
        <v>450</v>
      </c>
      <c r="I552" s="32" t="b">
        <f aca="false">FALSE()</f>
        <v>0</v>
      </c>
      <c r="J552" s="32" t="b">
        <f aca="false">FALSE()</f>
        <v>0</v>
      </c>
      <c r="K552" s="32" t="b">
        <f aca="false">FALSE()</f>
        <v>0</v>
      </c>
      <c r="L552" s="7" t="s">
        <v>445</v>
      </c>
      <c r="M552" s="7" t="s">
        <v>452</v>
      </c>
      <c r="N552" s="7" t="s">
        <v>453</v>
      </c>
      <c r="O552" s="7"/>
      <c r="P552" s="7"/>
      <c r="Q552" s="7"/>
      <c r="R552" s="7"/>
    </row>
    <row r="553" customFormat="false" ht="15" hidden="false" customHeight="false" outlineLevel="0" collapsed="false">
      <c r="A553" s="7" t="s">
        <v>596</v>
      </c>
      <c r="B553" s="7" t="s">
        <v>63</v>
      </c>
      <c r="C553" s="7" t="n">
        <v>84615</v>
      </c>
      <c r="D553" s="7" t="n">
        <v>84520.8</v>
      </c>
      <c r="E553" s="7" t="n">
        <v>0.0011145185563789</v>
      </c>
      <c r="F553" s="7" t="s">
        <v>450</v>
      </c>
      <c r="G553" s="7" t="s">
        <v>451</v>
      </c>
      <c r="H553" s="7" t="s">
        <v>450</v>
      </c>
      <c r="I553" s="32" t="b">
        <f aca="false">FALSE()</f>
        <v>0</v>
      </c>
      <c r="J553" s="32" t="b">
        <f aca="false">FALSE()</f>
        <v>0</v>
      </c>
      <c r="K553" s="32" t="b">
        <f aca="false">FALSE()</f>
        <v>0</v>
      </c>
      <c r="L553" s="7" t="s">
        <v>445</v>
      </c>
      <c r="M553" s="7" t="s">
        <v>452</v>
      </c>
      <c r="N553" s="7" t="s">
        <v>453</v>
      </c>
      <c r="O553" s="7"/>
      <c r="P553" s="7"/>
      <c r="Q553" s="7"/>
      <c r="R553" s="7"/>
    </row>
    <row r="554" customFormat="false" ht="15" hidden="false" customHeight="false" outlineLevel="0" collapsed="false">
      <c r="A554" s="7" t="s">
        <v>596</v>
      </c>
      <c r="B554" s="7" t="s">
        <v>64</v>
      </c>
      <c r="C554" s="7" t="n">
        <v>84928.8</v>
      </c>
      <c r="D554" s="7" t="n">
        <v>84770.1</v>
      </c>
      <c r="E554" s="7" t="n">
        <v>0.0018721223638995</v>
      </c>
      <c r="F554" s="7" t="s">
        <v>450</v>
      </c>
      <c r="G554" s="7" t="s">
        <v>451</v>
      </c>
      <c r="H554" s="7" t="s">
        <v>450</v>
      </c>
      <c r="I554" s="32" t="b">
        <f aca="false">FALSE()</f>
        <v>0</v>
      </c>
      <c r="J554" s="32" t="b">
        <f aca="false">FALSE()</f>
        <v>0</v>
      </c>
      <c r="K554" s="32" t="b">
        <f aca="false">FALSE()</f>
        <v>0</v>
      </c>
      <c r="L554" s="7" t="s">
        <v>445</v>
      </c>
      <c r="M554" s="7" t="s">
        <v>452</v>
      </c>
      <c r="N554" s="7" t="s">
        <v>453</v>
      </c>
      <c r="O554" s="7"/>
      <c r="P554" s="7"/>
      <c r="Q554" s="7"/>
      <c r="R554" s="7"/>
    </row>
    <row r="555" customFormat="false" ht="15" hidden="false" customHeight="false" outlineLevel="0" collapsed="false">
      <c r="A555" s="7" t="s">
        <v>416</v>
      </c>
      <c r="B555" s="7" t="s">
        <v>63</v>
      </c>
      <c r="C555" s="7" t="n">
        <v>84930.7</v>
      </c>
      <c r="D555" s="7" t="n">
        <v>84875.6</v>
      </c>
      <c r="E555" s="7" t="n">
        <v>0.0006491853960383</v>
      </c>
      <c r="F555" s="7" t="s">
        <v>59</v>
      </c>
      <c r="G555" s="7" t="s">
        <v>444</v>
      </c>
      <c r="H555" s="7" t="s">
        <v>66</v>
      </c>
      <c r="I555" s="32" t="b">
        <f aca="false">TRUE()</f>
        <v>1</v>
      </c>
      <c r="J555" s="32" t="b">
        <f aca="false">FALSE()</f>
        <v>0</v>
      </c>
      <c r="K555" s="32" t="b">
        <f aca="false">FALSE()</f>
        <v>0</v>
      </c>
      <c r="L555" s="7" t="s">
        <v>445</v>
      </c>
      <c r="M555" s="7" t="s">
        <v>446</v>
      </c>
      <c r="N555" s="7" t="s">
        <v>597</v>
      </c>
      <c r="O555" s="7" t="n">
        <v>85087.01</v>
      </c>
      <c r="P555" s="7" t="n">
        <v>84803.3</v>
      </c>
      <c r="Q555" s="7" t="n">
        <v>-1.74</v>
      </c>
      <c r="R555" s="7" t="s">
        <v>69</v>
      </c>
    </row>
    <row r="556" customFormat="false" ht="15" hidden="false" customHeight="false" outlineLevel="0" collapsed="false">
      <c r="A556" s="7" t="s">
        <v>416</v>
      </c>
      <c r="B556" s="7" t="s">
        <v>64</v>
      </c>
      <c r="C556" s="7" t="n">
        <v>85286</v>
      </c>
      <c r="D556" s="7" t="n">
        <v>85156.9</v>
      </c>
      <c r="E556" s="7" t="n">
        <v>0.0015160251253862</v>
      </c>
      <c r="F556" s="7" t="s">
        <v>60</v>
      </c>
      <c r="G556" s="7" t="s">
        <v>448</v>
      </c>
      <c r="H556" s="7" t="s">
        <v>67</v>
      </c>
      <c r="I556" s="32" t="b">
        <f aca="false">FALSE()</f>
        <v>0</v>
      </c>
      <c r="J556" s="32" t="b">
        <f aca="false">TRUE()</f>
        <v>1</v>
      </c>
      <c r="K556" s="32" t="b">
        <f aca="false">FALSE()</f>
        <v>0</v>
      </c>
      <c r="L556" s="7" t="s">
        <v>445</v>
      </c>
      <c r="M556" s="7" t="s">
        <v>446</v>
      </c>
      <c r="N556" s="7" t="s">
        <v>469</v>
      </c>
      <c r="O556" s="7" t="n">
        <v>85178.16</v>
      </c>
      <c r="P556" s="7" t="n">
        <v>85669.79</v>
      </c>
      <c r="Q556" s="7" t="n">
        <v>-60.8</v>
      </c>
      <c r="R556" s="7" t="s">
        <v>71</v>
      </c>
    </row>
    <row r="557" customFormat="false" ht="15" hidden="false" customHeight="false" outlineLevel="0" collapsed="false">
      <c r="A557" s="7" t="s">
        <v>417</v>
      </c>
      <c r="B557" s="7" t="s">
        <v>63</v>
      </c>
      <c r="C557" s="7" t="n">
        <v>86376.6</v>
      </c>
      <c r="D557" s="7" t="n">
        <v>86132.5</v>
      </c>
      <c r="E557" s="7" t="n">
        <v>0.0028340057469596</v>
      </c>
      <c r="F557" s="7" t="s">
        <v>60</v>
      </c>
      <c r="G557" s="7" t="s">
        <v>448</v>
      </c>
      <c r="H557" s="7" t="s">
        <v>67</v>
      </c>
      <c r="I557" s="32" t="b">
        <f aca="false">FALSE()</f>
        <v>0</v>
      </c>
      <c r="J557" s="32" t="b">
        <f aca="false">TRUE()</f>
        <v>1</v>
      </c>
      <c r="K557" s="32" t="b">
        <f aca="false">FALSE()</f>
        <v>0</v>
      </c>
      <c r="L557" s="7" t="s">
        <v>445</v>
      </c>
      <c r="M557" s="7" t="s">
        <v>446</v>
      </c>
      <c r="N557" s="7" t="s">
        <v>472</v>
      </c>
      <c r="O557" s="7" t="n">
        <v>86204.46</v>
      </c>
      <c r="P557" s="7" t="n">
        <v>86765.29</v>
      </c>
      <c r="Q557" s="7" t="n">
        <v>34.84</v>
      </c>
      <c r="R557" s="7" t="s">
        <v>69</v>
      </c>
    </row>
    <row r="558" customFormat="false" ht="15" hidden="false" customHeight="false" outlineLevel="0" collapsed="false">
      <c r="A558" s="7" t="s">
        <v>417</v>
      </c>
      <c r="B558" s="7" t="s">
        <v>64</v>
      </c>
      <c r="C558" s="7" t="n">
        <v>86110.8</v>
      </c>
      <c r="D558" s="7" t="n">
        <v>85761.3</v>
      </c>
      <c r="E558" s="7" t="n">
        <v>0.0040752647173025</v>
      </c>
      <c r="F558" s="7" t="s">
        <v>450</v>
      </c>
      <c r="G558" s="7" t="s">
        <v>451</v>
      </c>
      <c r="H558" s="7" t="s">
        <v>450</v>
      </c>
      <c r="I558" s="32" t="b">
        <f aca="false">FALSE()</f>
        <v>0</v>
      </c>
      <c r="J558" s="32" t="b">
        <f aca="false">FALSE()</f>
        <v>0</v>
      </c>
      <c r="K558" s="32" t="b">
        <f aca="false">FALSE()</f>
        <v>0</v>
      </c>
      <c r="L558" s="7" t="s">
        <v>445</v>
      </c>
      <c r="M558" s="7" t="s">
        <v>452</v>
      </c>
      <c r="N558" s="7" t="s">
        <v>453</v>
      </c>
      <c r="O558" s="7"/>
      <c r="P558" s="7"/>
      <c r="Q558" s="7"/>
      <c r="R558" s="7"/>
    </row>
    <row r="559" customFormat="false" ht="15" hidden="false" customHeight="false" outlineLevel="0" collapsed="false">
      <c r="A559" s="7" t="s">
        <v>418</v>
      </c>
      <c r="B559" s="7" t="s">
        <v>63</v>
      </c>
      <c r="C559" s="7" t="n">
        <v>85465.3</v>
      </c>
      <c r="D559" s="7" t="n">
        <v>85252.9</v>
      </c>
      <c r="E559" s="7" t="n">
        <v>0.0024914108493671</v>
      </c>
      <c r="F559" s="7" t="s">
        <v>59</v>
      </c>
      <c r="G559" s="7" t="s">
        <v>444</v>
      </c>
      <c r="H559" s="7" t="s">
        <v>66</v>
      </c>
      <c r="I559" s="32" t="b">
        <f aca="false">TRUE()</f>
        <v>1</v>
      </c>
      <c r="J559" s="32" t="b">
        <f aca="false">FALSE()</f>
        <v>0</v>
      </c>
      <c r="K559" s="32" t="b">
        <f aca="false">FALSE()</f>
        <v>0</v>
      </c>
      <c r="L559" s="7" t="s">
        <v>445</v>
      </c>
      <c r="M559" s="7" t="s">
        <v>446</v>
      </c>
      <c r="N559" s="7" t="s">
        <v>598</v>
      </c>
      <c r="O559" s="7" t="n">
        <v>85529.4</v>
      </c>
      <c r="P559" s="7" t="n">
        <v>85337.1</v>
      </c>
      <c r="Q559" s="7" t="n">
        <v>70.41</v>
      </c>
      <c r="R559" s="7" t="s">
        <v>69</v>
      </c>
    </row>
    <row r="560" customFormat="false" ht="15" hidden="false" customHeight="false" outlineLevel="0" collapsed="false">
      <c r="A560" s="7" t="s">
        <v>418</v>
      </c>
      <c r="B560" s="7" t="s">
        <v>64</v>
      </c>
      <c r="C560" s="7" t="n">
        <v>86416.3</v>
      </c>
      <c r="D560" s="7" t="n">
        <v>85956.5</v>
      </c>
      <c r="E560" s="7" t="n">
        <v>0.0053492173366761</v>
      </c>
      <c r="F560" s="7" t="s">
        <v>60</v>
      </c>
      <c r="G560" s="7" t="s">
        <v>448</v>
      </c>
      <c r="H560" s="7" t="s">
        <v>67</v>
      </c>
      <c r="I560" s="32" t="b">
        <f aca="false">FALSE()</f>
        <v>0</v>
      </c>
      <c r="J560" s="32" t="b">
        <f aca="false">TRUE()</f>
        <v>1</v>
      </c>
      <c r="K560" s="32" t="b">
        <f aca="false">FALSE()</f>
        <v>0</v>
      </c>
      <c r="L560" s="7" t="s">
        <v>445</v>
      </c>
      <c r="M560" s="7" t="s">
        <v>446</v>
      </c>
      <c r="N560" s="7" t="s">
        <v>469</v>
      </c>
      <c r="O560" s="7" t="n">
        <v>86257.15</v>
      </c>
      <c r="P560" s="7" t="n">
        <v>86805.17</v>
      </c>
      <c r="Q560" s="7" t="n">
        <v>21.7</v>
      </c>
      <c r="R560" s="7" t="s">
        <v>69</v>
      </c>
    </row>
    <row r="561" customFormat="false" ht="15" hidden="false" customHeight="false" outlineLevel="0" collapsed="false">
      <c r="A561" s="7" t="s">
        <v>419</v>
      </c>
      <c r="B561" s="7" t="s">
        <v>63</v>
      </c>
      <c r="C561" s="7" t="n">
        <v>84273.3</v>
      </c>
      <c r="D561" s="7" t="n">
        <v>84178.8</v>
      </c>
      <c r="E561" s="7" t="n">
        <v>0.0011226104434845</v>
      </c>
      <c r="F561" s="7" t="s">
        <v>450</v>
      </c>
      <c r="G561" s="7" t="s">
        <v>451</v>
      </c>
      <c r="H561" s="7" t="s">
        <v>450</v>
      </c>
      <c r="I561" s="32" t="b">
        <f aca="false">FALSE()</f>
        <v>0</v>
      </c>
      <c r="J561" s="32" t="b">
        <f aca="false">FALSE()</f>
        <v>0</v>
      </c>
      <c r="K561" s="32" t="b">
        <f aca="false">FALSE()</f>
        <v>0</v>
      </c>
      <c r="L561" s="7" t="s">
        <v>445</v>
      </c>
      <c r="M561" s="7" t="s">
        <v>452</v>
      </c>
      <c r="N561" s="7" t="s">
        <v>453</v>
      </c>
      <c r="O561" s="7"/>
      <c r="P561" s="7"/>
      <c r="Q561" s="7"/>
      <c r="R561" s="7"/>
    </row>
    <row r="562" customFormat="false" ht="15" hidden="false" customHeight="false" outlineLevel="0" collapsed="false">
      <c r="A562" s="7" t="s">
        <v>419</v>
      </c>
      <c r="B562" s="7" t="s">
        <v>64</v>
      </c>
      <c r="C562" s="7" t="n">
        <v>83439.8</v>
      </c>
      <c r="D562" s="7" t="n">
        <v>83038.1</v>
      </c>
      <c r="E562" s="7" t="n">
        <v>0.0048375384311538</v>
      </c>
      <c r="F562" s="7" t="s">
        <v>60</v>
      </c>
      <c r="G562" s="7" t="s">
        <v>459</v>
      </c>
      <c r="H562" s="7" t="s">
        <v>66</v>
      </c>
      <c r="I562" s="32" t="b">
        <f aca="false">FALSE()</f>
        <v>0</v>
      </c>
      <c r="J562" s="32" t="b">
        <f aca="false">TRUE()</f>
        <v>1</v>
      </c>
      <c r="K562" s="32" t="b">
        <f aca="false">FALSE()</f>
        <v>0</v>
      </c>
      <c r="L562" s="7" t="s">
        <v>445</v>
      </c>
      <c r="M562" s="7" t="s">
        <v>446</v>
      </c>
      <c r="N562" s="7" t="s">
        <v>460</v>
      </c>
      <c r="O562" s="7" t="n">
        <v>83161.63</v>
      </c>
      <c r="P562" s="7" t="n">
        <v>82664.43</v>
      </c>
      <c r="Q562" s="7" t="n">
        <v>26.87</v>
      </c>
      <c r="R562" s="7" t="s">
        <v>69</v>
      </c>
    </row>
    <row r="563" customFormat="false" ht="15" hidden="false" customHeight="false" outlineLevel="0" collapsed="false">
      <c r="A563" s="7" t="s">
        <v>420</v>
      </c>
      <c r="B563" s="7" t="s">
        <v>63</v>
      </c>
      <c r="C563" s="7" t="n">
        <v>83169.5</v>
      </c>
      <c r="D563" s="7" t="n">
        <v>83041.1</v>
      </c>
      <c r="E563" s="7" t="n">
        <v>0.0015462222923346</v>
      </c>
      <c r="F563" s="7" t="s">
        <v>59</v>
      </c>
      <c r="G563" s="7" t="s">
        <v>444</v>
      </c>
      <c r="H563" s="7" t="s">
        <v>67</v>
      </c>
      <c r="I563" s="32" t="b">
        <f aca="false">TRUE()</f>
        <v>1</v>
      </c>
      <c r="J563" s="32" t="b">
        <f aca="false">FALSE()</f>
        <v>0</v>
      </c>
      <c r="K563" s="32" t="b">
        <f aca="false">FALSE()</f>
        <v>0</v>
      </c>
      <c r="L563" s="7" t="s">
        <v>445</v>
      </c>
      <c r="M563" s="7" t="s">
        <v>446</v>
      </c>
      <c r="N563" s="7" t="s">
        <v>474</v>
      </c>
      <c r="O563" s="7" t="n">
        <v>82931.71</v>
      </c>
      <c r="P563" s="7" t="n">
        <v>83165.66</v>
      </c>
      <c r="Q563" s="7" t="n">
        <v>3.54</v>
      </c>
      <c r="R563" s="7" t="s">
        <v>69</v>
      </c>
    </row>
    <row r="564" customFormat="false" ht="15" hidden="false" customHeight="false" outlineLevel="0" collapsed="false">
      <c r="A564" s="7" t="s">
        <v>420</v>
      </c>
      <c r="B564" s="7" t="s">
        <v>64</v>
      </c>
      <c r="C564" s="7" t="n">
        <v>82462.1</v>
      </c>
      <c r="D564" s="7" t="n">
        <v>81715</v>
      </c>
      <c r="E564" s="7" t="n">
        <v>0.0091427522486692</v>
      </c>
      <c r="F564" s="7" t="s">
        <v>450</v>
      </c>
      <c r="G564" s="7" t="s">
        <v>451</v>
      </c>
      <c r="H564" s="7" t="s">
        <v>450</v>
      </c>
      <c r="I564" s="32" t="b">
        <f aca="false">FALSE()</f>
        <v>0</v>
      </c>
      <c r="J564" s="32" t="b">
        <f aca="false">FALSE()</f>
        <v>0</v>
      </c>
      <c r="K564" s="32" t="b">
        <f aca="false">FALSE()</f>
        <v>0</v>
      </c>
      <c r="L564" s="7" t="s">
        <v>445</v>
      </c>
      <c r="M564" s="7" t="s">
        <v>452</v>
      </c>
      <c r="N564" s="7" t="s">
        <v>453</v>
      </c>
      <c r="O564" s="7"/>
      <c r="P564" s="7"/>
      <c r="Q564" s="7"/>
      <c r="R564" s="7"/>
    </row>
    <row r="565" customFormat="false" ht="15" hidden="false" customHeight="false" outlineLevel="0" collapsed="false">
      <c r="A565" s="7" t="s">
        <v>421</v>
      </c>
      <c r="B565" s="7" t="s">
        <v>63</v>
      </c>
      <c r="C565" s="7" t="n">
        <v>82575.3</v>
      </c>
      <c r="D565" s="7" t="n">
        <v>82476.7</v>
      </c>
      <c r="E565" s="7" t="n">
        <v>0.0011954891502691</v>
      </c>
      <c r="F565" s="7" t="s">
        <v>450</v>
      </c>
      <c r="G565" s="7" t="s">
        <v>451</v>
      </c>
      <c r="H565" s="7" t="s">
        <v>450</v>
      </c>
      <c r="I565" s="32" t="b">
        <f aca="false">FALSE()</f>
        <v>0</v>
      </c>
      <c r="J565" s="32" t="b">
        <f aca="false">FALSE()</f>
        <v>0</v>
      </c>
      <c r="K565" s="32" t="b">
        <f aca="false">FALSE()</f>
        <v>0</v>
      </c>
      <c r="L565" s="7" t="s">
        <v>445</v>
      </c>
      <c r="M565" s="7" t="s">
        <v>452</v>
      </c>
      <c r="N565" s="7" t="s">
        <v>453</v>
      </c>
      <c r="O565" s="7"/>
      <c r="P565" s="7"/>
      <c r="Q565" s="7"/>
      <c r="R565" s="7"/>
    </row>
    <row r="566" customFormat="false" ht="15" hidden="false" customHeight="false" outlineLevel="0" collapsed="false">
      <c r="A566" s="7" t="s">
        <v>421</v>
      </c>
      <c r="B566" s="7" t="s">
        <v>64</v>
      </c>
      <c r="C566" s="7" t="n">
        <v>83024.5</v>
      </c>
      <c r="D566" s="7" t="n">
        <v>82440</v>
      </c>
      <c r="E566" s="7" t="n">
        <v>0.0070900048520135</v>
      </c>
      <c r="F566" s="7" t="s">
        <v>60</v>
      </c>
      <c r="G566" s="7" t="s">
        <v>459</v>
      </c>
      <c r="H566" s="7" t="s">
        <v>66</v>
      </c>
      <c r="I566" s="32" t="b">
        <f aca="false">FALSE()</f>
        <v>0</v>
      </c>
      <c r="J566" s="32" t="b">
        <f aca="false">TRUE()</f>
        <v>1</v>
      </c>
      <c r="K566" s="32" t="b">
        <f aca="false">FALSE()</f>
        <v>0</v>
      </c>
      <c r="L566" s="7" t="s">
        <v>445</v>
      </c>
      <c r="M566" s="7" t="s">
        <v>446</v>
      </c>
      <c r="N566" s="7" t="s">
        <v>510</v>
      </c>
      <c r="O566" s="7" t="n">
        <v>82839.16</v>
      </c>
      <c r="P566" s="7" t="n">
        <v>82069.02</v>
      </c>
      <c r="Q566" s="7" t="n">
        <v>10.83</v>
      </c>
      <c r="R566" s="7" t="s">
        <v>69</v>
      </c>
    </row>
    <row r="567" customFormat="false" ht="15" hidden="false" customHeight="false" outlineLevel="0" collapsed="false">
      <c r="A567" s="7" t="s">
        <v>599</v>
      </c>
      <c r="B567" s="7" t="s">
        <v>63</v>
      </c>
      <c r="C567" s="7" t="n">
        <v>82738.3</v>
      </c>
      <c r="D567" s="7" t="n">
        <v>82599.5</v>
      </c>
      <c r="E567" s="7" t="n">
        <v>0.0016803975810991</v>
      </c>
      <c r="F567" s="7" t="s">
        <v>450</v>
      </c>
      <c r="G567" s="7" t="s">
        <v>451</v>
      </c>
      <c r="H567" s="7" t="s">
        <v>450</v>
      </c>
      <c r="I567" s="32" t="b">
        <f aca="false">FALSE()</f>
        <v>0</v>
      </c>
      <c r="J567" s="32" t="b">
        <f aca="false">FALSE()</f>
        <v>0</v>
      </c>
      <c r="K567" s="32" t="b">
        <f aca="false">FALSE()</f>
        <v>0</v>
      </c>
      <c r="L567" s="7" t="s">
        <v>445</v>
      </c>
      <c r="M567" s="7" t="s">
        <v>452</v>
      </c>
      <c r="N567" s="7" t="s">
        <v>453</v>
      </c>
      <c r="O567" s="7"/>
      <c r="P567" s="7"/>
      <c r="Q567" s="7"/>
      <c r="R567" s="7"/>
    </row>
    <row r="568" customFormat="false" ht="15" hidden="false" customHeight="false" outlineLevel="0" collapsed="false">
      <c r="A568" s="7" t="s">
        <v>599</v>
      </c>
      <c r="B568" s="7" t="s">
        <v>64</v>
      </c>
      <c r="C568" s="7" t="n">
        <v>82818.5</v>
      </c>
      <c r="D568" s="7" t="n">
        <v>82742.5</v>
      </c>
      <c r="E568" s="7" t="n">
        <v>0.0009185122518657</v>
      </c>
      <c r="F568" s="7" t="s">
        <v>450</v>
      </c>
      <c r="G568" s="7" t="s">
        <v>451</v>
      </c>
      <c r="H568" s="7" t="s">
        <v>450</v>
      </c>
      <c r="I568" s="32" t="b">
        <f aca="false">FALSE()</f>
        <v>0</v>
      </c>
      <c r="J568" s="32" t="b">
        <f aca="false">FALSE()</f>
        <v>0</v>
      </c>
      <c r="K568" s="32" t="b">
        <f aca="false">FALSE()</f>
        <v>0</v>
      </c>
      <c r="L568" s="7" t="s">
        <v>445</v>
      </c>
      <c r="M568" s="7" t="s">
        <v>452</v>
      </c>
      <c r="N568" s="7" t="s">
        <v>453</v>
      </c>
      <c r="O568" s="7"/>
      <c r="P568" s="7"/>
      <c r="Q568" s="7"/>
      <c r="R568" s="7"/>
    </row>
    <row r="569" customFormat="false" ht="15" hidden="false" customHeight="false" outlineLevel="0" collapsed="false">
      <c r="A569" s="7" t="s">
        <v>422</v>
      </c>
      <c r="B569" s="7" t="s">
        <v>63</v>
      </c>
      <c r="C569" s="7" t="n">
        <v>83041.7</v>
      </c>
      <c r="D569" s="7" t="n">
        <v>82969.9</v>
      </c>
      <c r="E569" s="7" t="n">
        <v>0.0008653740693914</v>
      </c>
      <c r="F569" s="7" t="s">
        <v>60</v>
      </c>
      <c r="G569" s="7" t="s">
        <v>459</v>
      </c>
      <c r="H569" s="7" t="s">
        <v>66</v>
      </c>
      <c r="I569" s="32" t="b">
        <f aca="false">FALSE()</f>
        <v>0</v>
      </c>
      <c r="J569" s="32" t="b">
        <f aca="false">TRUE()</f>
        <v>1</v>
      </c>
      <c r="K569" s="32" t="b">
        <f aca="false">FALSE()</f>
        <v>0</v>
      </c>
      <c r="L569" s="7" t="s">
        <v>445</v>
      </c>
      <c r="M569" s="7" t="s">
        <v>446</v>
      </c>
      <c r="N569" s="7" t="s">
        <v>465</v>
      </c>
      <c r="O569" s="7" t="n">
        <v>82997.4</v>
      </c>
      <c r="P569" s="7" t="n">
        <v>82596.54</v>
      </c>
      <c r="Q569" s="7" t="n">
        <v>8.43</v>
      </c>
      <c r="R569" s="7" t="s">
        <v>69</v>
      </c>
    </row>
    <row r="570" customFormat="false" ht="15" hidden="false" customHeight="false" outlineLevel="0" collapsed="false">
      <c r="A570" s="7" t="s">
        <v>422</v>
      </c>
      <c r="B570" s="7" t="s">
        <v>64</v>
      </c>
      <c r="C570" s="7" t="n">
        <v>83079</v>
      </c>
      <c r="D570" s="7" t="n">
        <v>83044.1</v>
      </c>
      <c r="E570" s="7" t="n">
        <v>0.0004202586336656</v>
      </c>
      <c r="F570" s="7" t="s">
        <v>450</v>
      </c>
      <c r="G570" s="7" t="s">
        <v>451</v>
      </c>
      <c r="H570" s="7" t="s">
        <v>450</v>
      </c>
      <c r="I570" s="32" t="b">
        <f aca="false">FALSE()</f>
        <v>0</v>
      </c>
      <c r="J570" s="32" t="b">
        <f aca="false">FALSE()</f>
        <v>0</v>
      </c>
      <c r="K570" s="32" t="b">
        <f aca="false">FALSE()</f>
        <v>0</v>
      </c>
      <c r="L570" s="7" t="s">
        <v>445</v>
      </c>
      <c r="M570" s="7" t="s">
        <v>452</v>
      </c>
      <c r="N570" s="7" t="s">
        <v>453</v>
      </c>
      <c r="O570" s="7"/>
      <c r="P570" s="7"/>
      <c r="Q570" s="7"/>
      <c r="R570" s="7"/>
    </row>
    <row r="571" customFormat="false" ht="15" hidden="false" customHeight="false" outlineLevel="0" collapsed="false">
      <c r="A571" s="7" t="s">
        <v>423</v>
      </c>
      <c r="B571" s="7" t="s">
        <v>63</v>
      </c>
      <c r="C571" s="7" t="n">
        <v>84093.7</v>
      </c>
      <c r="D571" s="7" t="n">
        <v>83931.2</v>
      </c>
      <c r="E571" s="7" t="n">
        <v>0.0019361095754618</v>
      </c>
      <c r="F571" s="7" t="s">
        <v>60</v>
      </c>
      <c r="G571" s="7" t="s">
        <v>459</v>
      </c>
      <c r="H571" s="7" t="s">
        <v>66</v>
      </c>
      <c r="I571" s="32" t="b">
        <f aca="false">FALSE()</f>
        <v>0</v>
      </c>
      <c r="J571" s="32" t="b">
        <f aca="false">TRUE()</f>
        <v>1</v>
      </c>
      <c r="K571" s="32" t="b">
        <f aca="false">FALSE()</f>
        <v>0</v>
      </c>
      <c r="L571" s="7" t="s">
        <v>445</v>
      </c>
      <c r="M571" s="7" t="s">
        <v>446</v>
      </c>
      <c r="N571" s="7" t="s">
        <v>465</v>
      </c>
      <c r="O571" s="7" t="n">
        <v>83977.69</v>
      </c>
      <c r="P571" s="7" t="n">
        <v>83553.51</v>
      </c>
      <c r="Q571" s="7" t="n">
        <v>-95.08</v>
      </c>
      <c r="R571" s="7" t="s">
        <v>70</v>
      </c>
    </row>
    <row r="572" customFormat="false" ht="15" hidden="false" customHeight="false" outlineLevel="0" collapsed="false">
      <c r="A572" s="7" t="s">
        <v>423</v>
      </c>
      <c r="B572" s="7" t="s">
        <v>64</v>
      </c>
      <c r="C572" s="7" t="n">
        <v>82724.9</v>
      </c>
      <c r="D572" s="7" t="n">
        <v>82431.8</v>
      </c>
      <c r="E572" s="7" t="n">
        <v>0.0035556666238028</v>
      </c>
      <c r="F572" s="7" t="s">
        <v>59</v>
      </c>
      <c r="G572" s="7" t="s">
        <v>444</v>
      </c>
      <c r="H572" s="7" t="s">
        <v>66</v>
      </c>
      <c r="I572" s="32" t="b">
        <f aca="false">TRUE()</f>
        <v>1</v>
      </c>
      <c r="J572" s="32" t="b">
        <f aca="false">FALSE()</f>
        <v>0</v>
      </c>
      <c r="K572" s="32" t="b">
        <f aca="false">FALSE()</f>
        <v>0</v>
      </c>
      <c r="L572" s="7" t="s">
        <v>445</v>
      </c>
      <c r="M572" s="7" t="s">
        <v>446</v>
      </c>
      <c r="N572" s="7" t="s">
        <v>523</v>
      </c>
      <c r="O572" s="7" t="n">
        <v>82938.58</v>
      </c>
      <c r="P572" s="7" t="n">
        <v>82600.81</v>
      </c>
      <c r="Q572" s="7" t="n">
        <v>-119.51</v>
      </c>
      <c r="R572" s="7" t="s">
        <v>70</v>
      </c>
    </row>
    <row r="573" customFormat="false" ht="15" hidden="false" customHeight="false" outlineLevel="0" collapsed="false">
      <c r="A573" s="7" t="s">
        <v>600</v>
      </c>
      <c r="B573" s="7" t="s">
        <v>63</v>
      </c>
      <c r="C573" s="7" t="n">
        <v>84046.5</v>
      </c>
      <c r="D573" s="7" t="n">
        <v>83689.8</v>
      </c>
      <c r="E573" s="7" t="n">
        <v>0.0042621681495235</v>
      </c>
      <c r="F573" s="7" t="s">
        <v>450</v>
      </c>
      <c r="G573" s="7" t="s">
        <v>451</v>
      </c>
      <c r="H573" s="7" t="s">
        <v>450</v>
      </c>
      <c r="I573" s="32" t="b">
        <f aca="false">FALSE()</f>
        <v>0</v>
      </c>
      <c r="J573" s="32" t="b">
        <f aca="false">FALSE()</f>
        <v>0</v>
      </c>
      <c r="K573" s="32" t="b">
        <f aca="false">FALSE()</f>
        <v>0</v>
      </c>
      <c r="L573" s="7" t="s">
        <v>445</v>
      </c>
      <c r="M573" s="7" t="s">
        <v>452</v>
      </c>
      <c r="N573" s="7" t="s">
        <v>453</v>
      </c>
      <c r="O573" s="7"/>
      <c r="P573" s="7"/>
      <c r="Q573" s="7"/>
      <c r="R573" s="7"/>
    </row>
    <row r="574" customFormat="false" ht="15" hidden="false" customHeight="false" outlineLevel="0" collapsed="false">
      <c r="A574" s="7" t="s">
        <v>600</v>
      </c>
      <c r="B574" s="7" t="s">
        <v>64</v>
      </c>
      <c r="C574" s="7" t="n">
        <v>83661.7</v>
      </c>
      <c r="D574" s="7" t="n">
        <v>83241.6</v>
      </c>
      <c r="E574" s="7" t="n">
        <v>0.0050467554684195</v>
      </c>
      <c r="F574" s="7" t="s">
        <v>450</v>
      </c>
      <c r="G574" s="7" t="s">
        <v>451</v>
      </c>
      <c r="H574" s="7" t="s">
        <v>450</v>
      </c>
      <c r="I574" s="32" t="b">
        <f aca="false">FALSE()</f>
        <v>0</v>
      </c>
      <c r="J574" s="32" t="b">
        <f aca="false">FALSE()</f>
        <v>0</v>
      </c>
      <c r="K574" s="32" t="b">
        <f aca="false">FALSE()</f>
        <v>0</v>
      </c>
      <c r="L574" s="7" t="s">
        <v>445</v>
      </c>
      <c r="M574" s="7" t="s">
        <v>452</v>
      </c>
      <c r="N574" s="7" t="s">
        <v>453</v>
      </c>
      <c r="O574" s="7"/>
      <c r="P574" s="7"/>
      <c r="Q574" s="7"/>
      <c r="R574" s="7"/>
    </row>
    <row r="575" customFormat="false" ht="15" hidden="false" customHeight="false" outlineLevel="0" collapsed="false">
      <c r="A575" s="7" t="s">
        <v>601</v>
      </c>
      <c r="B575" s="7" t="s">
        <v>63</v>
      </c>
      <c r="C575" s="7" t="n">
        <v>83478</v>
      </c>
      <c r="D575" s="7" t="n">
        <v>83370.5</v>
      </c>
      <c r="E575" s="7" t="n">
        <v>0.0012894249164872</v>
      </c>
      <c r="F575" s="7" t="s">
        <v>450</v>
      </c>
      <c r="G575" s="7" t="s">
        <v>451</v>
      </c>
      <c r="H575" s="7" t="s">
        <v>450</v>
      </c>
      <c r="I575" s="32" t="b">
        <f aca="false">FALSE()</f>
        <v>0</v>
      </c>
      <c r="J575" s="32" t="b">
        <f aca="false">FALSE()</f>
        <v>0</v>
      </c>
      <c r="K575" s="32" t="b">
        <f aca="false">FALSE()</f>
        <v>0</v>
      </c>
      <c r="L575" s="7" t="s">
        <v>445</v>
      </c>
      <c r="M575" s="7" t="s">
        <v>452</v>
      </c>
      <c r="N575" s="7" t="s">
        <v>453</v>
      </c>
      <c r="O575" s="7"/>
      <c r="P575" s="7"/>
      <c r="Q575" s="7"/>
      <c r="R575" s="7"/>
    </row>
    <row r="576" customFormat="false" ht="15" hidden="false" customHeight="false" outlineLevel="0" collapsed="false">
      <c r="A576" s="7" t="s">
        <v>601</v>
      </c>
      <c r="B576" s="7" t="s">
        <v>64</v>
      </c>
      <c r="C576" s="7" t="n">
        <v>83004.8</v>
      </c>
      <c r="D576" s="7" t="n">
        <v>82595.3</v>
      </c>
      <c r="E576" s="7" t="n">
        <v>0.0049579092272804</v>
      </c>
      <c r="F576" s="7" t="s">
        <v>450</v>
      </c>
      <c r="G576" s="7" t="s">
        <v>451</v>
      </c>
      <c r="H576" s="7" t="s">
        <v>450</v>
      </c>
      <c r="I576" s="32" t="b">
        <f aca="false">FALSE()</f>
        <v>0</v>
      </c>
      <c r="J576" s="32" t="b">
        <f aca="false">FALSE()</f>
        <v>0</v>
      </c>
      <c r="K576" s="32" t="b">
        <f aca="false">FALSE()</f>
        <v>0</v>
      </c>
      <c r="L576" s="7" t="s">
        <v>445</v>
      </c>
      <c r="M576" s="7" t="s">
        <v>452</v>
      </c>
      <c r="N576" s="7" t="s">
        <v>453</v>
      </c>
      <c r="O576" s="7"/>
      <c r="P576" s="7"/>
      <c r="Q576" s="7"/>
      <c r="R576" s="7"/>
    </row>
    <row r="577" customFormat="false" ht="15" hidden="false" customHeight="false" outlineLevel="0" collapsed="false">
      <c r="A577" s="7" t="s">
        <v>424</v>
      </c>
      <c r="B577" s="7" t="s">
        <v>63</v>
      </c>
      <c r="C577" s="7" t="n">
        <v>81402.8</v>
      </c>
      <c r="D577" s="7" t="n">
        <v>81081.4</v>
      </c>
      <c r="E577" s="7" t="n">
        <v>0.0039639177419236</v>
      </c>
      <c r="F577" s="7" t="s">
        <v>450</v>
      </c>
      <c r="G577" s="7" t="s">
        <v>451</v>
      </c>
      <c r="H577" s="7" t="s">
        <v>450</v>
      </c>
      <c r="I577" s="32" t="b">
        <f aca="false">FALSE()</f>
        <v>0</v>
      </c>
      <c r="J577" s="32" t="b">
        <f aca="false">FALSE()</f>
        <v>0</v>
      </c>
      <c r="K577" s="32" t="b">
        <f aca="false">FALSE()</f>
        <v>0</v>
      </c>
      <c r="L577" s="7" t="s">
        <v>445</v>
      </c>
      <c r="M577" s="7" t="s">
        <v>452</v>
      </c>
      <c r="N577" s="7" t="s">
        <v>453</v>
      </c>
      <c r="O577" s="7"/>
      <c r="P577" s="7"/>
      <c r="Q577" s="7"/>
      <c r="R577" s="7"/>
    </row>
    <row r="578" customFormat="false" ht="15" hidden="false" customHeight="false" outlineLevel="0" collapsed="false">
      <c r="A578" s="7" t="s">
        <v>424</v>
      </c>
      <c r="B578" s="7" t="s">
        <v>64</v>
      </c>
      <c r="C578" s="7" t="n">
        <v>80719.4</v>
      </c>
      <c r="D578" s="7" t="n">
        <v>80027</v>
      </c>
      <c r="E578" s="7" t="n">
        <v>0.0086520799230259</v>
      </c>
      <c r="F578" s="7" t="s">
        <v>60</v>
      </c>
      <c r="G578" s="7" t="s">
        <v>448</v>
      </c>
      <c r="H578" s="7" t="s">
        <v>67</v>
      </c>
      <c r="I578" s="32" t="b">
        <f aca="false">FALSE()</f>
        <v>0</v>
      </c>
      <c r="J578" s="32" t="b">
        <f aca="false">TRUE()</f>
        <v>1</v>
      </c>
      <c r="K578" s="32" t="b">
        <f aca="false">FALSE()</f>
        <v>0</v>
      </c>
      <c r="L578" s="7" t="s">
        <v>445</v>
      </c>
      <c r="M578" s="7" t="s">
        <v>446</v>
      </c>
      <c r="N578" s="7" t="s">
        <v>472</v>
      </c>
      <c r="O578" s="7" t="n">
        <v>80148.57</v>
      </c>
      <c r="P578" s="7" t="n">
        <v>81082.64</v>
      </c>
      <c r="Q578" s="7" t="n">
        <v>-91.95</v>
      </c>
      <c r="R578" s="7" t="s">
        <v>70</v>
      </c>
    </row>
    <row r="579" customFormat="false" ht="15" hidden="false" customHeight="false" outlineLevel="0" collapsed="false">
      <c r="A579" s="7" t="s">
        <v>425</v>
      </c>
      <c r="B579" s="7" t="s">
        <v>63</v>
      </c>
      <c r="C579" s="7" t="n">
        <v>82196.5</v>
      </c>
      <c r="D579" s="7" t="n">
        <v>82065</v>
      </c>
      <c r="E579" s="7" t="n">
        <v>0.0016023883506976</v>
      </c>
      <c r="F579" s="7" t="s">
        <v>59</v>
      </c>
      <c r="G579" s="7" t="s">
        <v>444</v>
      </c>
      <c r="H579" s="7" t="s">
        <v>66</v>
      </c>
      <c r="I579" s="32" t="b">
        <f aca="false">TRUE()</f>
        <v>1</v>
      </c>
      <c r="J579" s="32" t="b">
        <f aca="false">FALSE()</f>
        <v>0</v>
      </c>
      <c r="K579" s="32" t="b">
        <f aca="false">FALSE()</f>
        <v>0</v>
      </c>
      <c r="L579" s="7" t="s">
        <v>445</v>
      </c>
      <c r="M579" s="7" t="s">
        <v>446</v>
      </c>
      <c r="N579" s="7" t="s">
        <v>523</v>
      </c>
      <c r="O579" s="7" t="n">
        <v>82276.85</v>
      </c>
      <c r="P579" s="7" t="n">
        <v>82073.21</v>
      </c>
      <c r="Q579" s="7" t="n">
        <v>-140.22</v>
      </c>
      <c r="R579" s="7" t="s">
        <v>70</v>
      </c>
    </row>
    <row r="580" customFormat="false" ht="15" hidden="false" customHeight="false" outlineLevel="0" collapsed="false">
      <c r="A580" s="7" t="s">
        <v>425</v>
      </c>
      <c r="B580" s="7" t="s">
        <v>64</v>
      </c>
      <c r="C580" s="7" t="n">
        <v>82043.5</v>
      </c>
      <c r="D580" s="7" t="n">
        <v>81730</v>
      </c>
      <c r="E580" s="7" t="n">
        <v>0.003835800807537</v>
      </c>
      <c r="F580" s="7" t="s">
        <v>450</v>
      </c>
      <c r="G580" s="7" t="s">
        <v>451</v>
      </c>
      <c r="H580" s="7" t="s">
        <v>450</v>
      </c>
      <c r="I580" s="32" t="b">
        <f aca="false">FALSE()</f>
        <v>0</v>
      </c>
      <c r="J580" s="32" t="b">
        <f aca="false">FALSE()</f>
        <v>0</v>
      </c>
      <c r="K580" s="32" t="b">
        <f aca="false">FALSE()</f>
        <v>0</v>
      </c>
      <c r="L580" s="7" t="s">
        <v>445</v>
      </c>
      <c r="M580" s="7" t="s">
        <v>452</v>
      </c>
      <c r="N580" s="7" t="s">
        <v>458</v>
      </c>
      <c r="O580" s="7"/>
      <c r="P580" s="7"/>
      <c r="Q580" s="7"/>
      <c r="R580" s="7"/>
    </row>
    <row r="581" customFormat="false" ht="15" hidden="false" customHeight="false" outlineLevel="0" collapsed="false">
      <c r="A581" s="7" t="s">
        <v>602</v>
      </c>
      <c r="B581" s="7" t="s">
        <v>63</v>
      </c>
      <c r="C581" s="7" t="n">
        <v>81733</v>
      </c>
      <c r="D581" s="7" t="n">
        <v>81614.1</v>
      </c>
      <c r="E581" s="7" t="n">
        <v>0.0014568561069716</v>
      </c>
      <c r="F581" s="7" t="s">
        <v>450</v>
      </c>
      <c r="G581" s="7" t="s">
        <v>451</v>
      </c>
      <c r="H581" s="7" t="s">
        <v>450</v>
      </c>
      <c r="I581" s="32" t="b">
        <f aca="false">FALSE()</f>
        <v>0</v>
      </c>
      <c r="J581" s="32" t="b">
        <f aca="false">FALSE()</f>
        <v>0</v>
      </c>
      <c r="K581" s="32" t="b">
        <f aca="false">FALSE()</f>
        <v>0</v>
      </c>
      <c r="L581" s="7" t="s">
        <v>445</v>
      </c>
      <c r="M581" s="7" t="s">
        <v>452</v>
      </c>
      <c r="N581" s="7" t="s">
        <v>458</v>
      </c>
      <c r="O581" s="7"/>
      <c r="P581" s="7"/>
      <c r="Q581" s="7"/>
      <c r="R581" s="7"/>
    </row>
    <row r="582" customFormat="false" ht="15" hidden="false" customHeight="false" outlineLevel="0" collapsed="false">
      <c r="A582" s="7" t="s">
        <v>602</v>
      </c>
      <c r="B582" s="7" t="s">
        <v>64</v>
      </c>
      <c r="C582" s="7" t="n">
        <v>81502</v>
      </c>
      <c r="D582" s="7" t="n">
        <v>81443</v>
      </c>
      <c r="E582" s="7" t="n">
        <v>0.0007244330390579</v>
      </c>
      <c r="F582" s="7" t="s">
        <v>450</v>
      </c>
      <c r="G582" s="7" t="s">
        <v>451</v>
      </c>
      <c r="H582" s="7" t="s">
        <v>450</v>
      </c>
      <c r="I582" s="32" t="b">
        <f aca="false">FALSE()</f>
        <v>0</v>
      </c>
      <c r="J582" s="32" t="b">
        <f aca="false">FALSE()</f>
        <v>0</v>
      </c>
      <c r="K582" s="32" t="b">
        <f aca="false">FALSE()</f>
        <v>0</v>
      </c>
      <c r="L582" s="7" t="s">
        <v>445</v>
      </c>
      <c r="M582" s="7" t="s">
        <v>452</v>
      </c>
      <c r="N582" s="7" t="s">
        <v>458</v>
      </c>
      <c r="O582" s="7"/>
      <c r="P582" s="7"/>
      <c r="Q582" s="7"/>
      <c r="R582" s="7"/>
    </row>
  </sheetData>
  <autoFilter ref="A1:R58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14" min="2" style="0" width="11"/>
  </cols>
  <sheetData>
    <row r="1" customFormat="false" ht="15" hidden="false" customHeight="false" outlineLevel="0" collapsed="false">
      <c r="A1" s="13" t="s">
        <v>603</v>
      </c>
    </row>
    <row r="3" customFormat="false" ht="23.85" hidden="false" customHeight="false" outlineLevel="0" collapsed="false">
      <c r="A3" s="6" t="s">
        <v>604</v>
      </c>
      <c r="B3" s="6" t="s">
        <v>605</v>
      </c>
      <c r="C3" s="6" t="s">
        <v>606</v>
      </c>
      <c r="D3" s="6" t="s">
        <v>607</v>
      </c>
      <c r="E3" s="6" t="s">
        <v>608</v>
      </c>
      <c r="F3" s="6" t="s">
        <v>609</v>
      </c>
      <c r="G3" s="6" t="s">
        <v>610</v>
      </c>
      <c r="H3" s="6" t="s">
        <v>611</v>
      </c>
      <c r="I3" s="6" t="s">
        <v>612</v>
      </c>
      <c r="J3" s="6" t="s">
        <v>613</v>
      </c>
      <c r="K3" s="6" t="s">
        <v>614</v>
      </c>
      <c r="L3" s="6" t="s">
        <v>615</v>
      </c>
      <c r="M3" s="6" t="s">
        <v>616</v>
      </c>
      <c r="N3" s="6" t="s">
        <v>617</v>
      </c>
    </row>
    <row r="4" customFormat="false" ht="15" hidden="false" customHeight="false" outlineLevel="0" collapsed="false">
      <c r="A4" s="7" t="s">
        <v>618</v>
      </c>
      <c r="B4" s="7" t="n">
        <v>301</v>
      </c>
      <c r="C4" s="7" t="s">
        <v>619</v>
      </c>
      <c r="D4" s="7" t="n">
        <v>1239</v>
      </c>
      <c r="E4" s="7" t="n">
        <v>-4805</v>
      </c>
      <c r="F4" s="7" t="n">
        <v>6044</v>
      </c>
      <c r="G4" s="7" t="n">
        <v>0.53</v>
      </c>
      <c r="H4" s="7" t="n">
        <v>-16</v>
      </c>
      <c r="I4" s="7" t="n">
        <v>0.102</v>
      </c>
      <c r="J4" s="7" t="n">
        <v>82</v>
      </c>
      <c r="K4" s="7" t="n">
        <v>0.32</v>
      </c>
      <c r="L4" s="7" t="n">
        <v>-4811</v>
      </c>
      <c r="M4" s="7" t="n">
        <v>1.08</v>
      </c>
      <c r="N4" s="7" t="n">
        <v>-4.17</v>
      </c>
    </row>
    <row r="5" customFormat="false" ht="15" hidden="false" customHeight="false" outlineLevel="0" collapsed="false">
      <c r="A5" s="7" t="s">
        <v>620</v>
      </c>
      <c r="B5" s="7" t="n">
        <v>289</v>
      </c>
      <c r="C5" s="7" t="s">
        <v>621</v>
      </c>
      <c r="D5" s="7" t="n">
        <v>1741</v>
      </c>
      <c r="E5" s="7" t="n">
        <v>-8859</v>
      </c>
      <c r="F5" s="7" t="n">
        <v>10600</v>
      </c>
      <c r="G5" s="7" t="n">
        <v>0.34</v>
      </c>
      <c r="H5" s="7" t="n">
        <v>-30.7</v>
      </c>
      <c r="I5" s="7" t="n">
        <v>0.181</v>
      </c>
      <c r="J5" s="7" t="n">
        <v>88</v>
      </c>
      <c r="K5" s="7" t="n">
        <v>0.55</v>
      </c>
      <c r="L5" s="7" t="n">
        <v>-8865</v>
      </c>
      <c r="M5" s="7" t="n">
        <v>1.31</v>
      </c>
      <c r="N5" s="7" t="n">
        <v>-6.5</v>
      </c>
    </row>
    <row r="6" customFormat="false" ht="15" hidden="false" customHeight="false" outlineLevel="0" collapsed="false">
      <c r="A6" s="7" t="s">
        <v>622</v>
      </c>
      <c r="B6" s="7" t="n">
        <v>301</v>
      </c>
      <c r="C6" s="7" t="s">
        <v>623</v>
      </c>
      <c r="D6" s="7" t="n">
        <v>402</v>
      </c>
      <c r="E6" s="7" t="n">
        <v>-7154</v>
      </c>
      <c r="F6" s="7" t="n">
        <v>7556</v>
      </c>
      <c r="G6" s="7" t="n">
        <v>0.4</v>
      </c>
      <c r="H6" s="7" t="n">
        <v>-23.8</v>
      </c>
      <c r="I6" s="7" t="n">
        <v>0.078</v>
      </c>
      <c r="J6" s="7" t="n">
        <v>85</v>
      </c>
      <c r="K6" s="7" t="n">
        <v>0.39</v>
      </c>
      <c r="L6" s="7" t="n">
        <v>-7161</v>
      </c>
      <c r="M6" s="7" t="n">
        <v>0.34</v>
      </c>
      <c r="N6" s="7" t="n">
        <v>-5.96</v>
      </c>
    </row>
    <row r="7" customFormat="false" ht="15" hidden="false" customHeight="false" outlineLevel="0" collapsed="false">
      <c r="A7" s="7" t="s">
        <v>624</v>
      </c>
      <c r="B7" s="7" t="n">
        <v>305</v>
      </c>
      <c r="C7" s="7" t="s">
        <v>625</v>
      </c>
      <c r="D7" s="7" t="n">
        <v>643</v>
      </c>
      <c r="E7" s="7" t="n">
        <v>-4551</v>
      </c>
      <c r="F7" s="7" t="n">
        <v>5194</v>
      </c>
      <c r="G7" s="7" t="n">
        <v>0.54</v>
      </c>
      <c r="H7" s="7" t="n">
        <v>-14.9</v>
      </c>
      <c r="I7" s="7" t="n">
        <v>0.071</v>
      </c>
      <c r="J7" s="7" t="n">
        <v>78</v>
      </c>
      <c r="K7" s="7" t="n">
        <v>0.28</v>
      </c>
      <c r="L7" s="7" t="n">
        <v>-4758</v>
      </c>
      <c r="M7" s="7" t="n">
        <v>0.59</v>
      </c>
      <c r="N7" s="7" t="n">
        <v>-4.13</v>
      </c>
    </row>
    <row r="8" customFormat="false" ht="15" hidden="false" customHeight="false" outlineLevel="0" collapsed="false">
      <c r="A8" s="7" t="s">
        <v>626</v>
      </c>
      <c r="B8" s="7" t="n">
        <v>301</v>
      </c>
      <c r="C8" s="7" t="s">
        <v>619</v>
      </c>
      <c r="D8" s="7" t="n">
        <v>1181</v>
      </c>
      <c r="E8" s="7" t="n">
        <v>-4870</v>
      </c>
      <c r="F8" s="7" t="n">
        <v>6052</v>
      </c>
      <c r="G8" s="7" t="n">
        <v>0.53</v>
      </c>
      <c r="H8" s="7" t="n">
        <v>-16.2</v>
      </c>
      <c r="I8" s="7" t="n">
        <v>0.098</v>
      </c>
      <c r="J8" s="7" t="n">
        <v>82</v>
      </c>
      <c r="K8" s="7" t="n">
        <v>0.32</v>
      </c>
      <c r="L8" s="7" t="n">
        <v>-4876</v>
      </c>
      <c r="M8" s="7" t="n">
        <v>1.03</v>
      </c>
      <c r="N8" s="7" t="n">
        <v>-4.22</v>
      </c>
    </row>
    <row r="9" customFormat="false" ht="15" hidden="false" customHeight="false" outlineLevel="0" collapsed="false">
      <c r="A9" s="7" t="s">
        <v>627</v>
      </c>
      <c r="B9" s="7" t="n">
        <v>301</v>
      </c>
      <c r="C9" s="7" t="s">
        <v>628</v>
      </c>
      <c r="D9" s="7" t="n">
        <v>1112</v>
      </c>
      <c r="E9" s="7" t="n">
        <v>-4901</v>
      </c>
      <c r="F9" s="7" t="n">
        <v>6013</v>
      </c>
      <c r="G9" s="7" t="n">
        <v>0.53</v>
      </c>
      <c r="H9" s="7" t="n">
        <v>-16.3</v>
      </c>
      <c r="I9" s="7" t="n">
        <v>0.092</v>
      </c>
      <c r="J9" s="7" t="n">
        <v>82</v>
      </c>
      <c r="K9" s="7" t="n">
        <v>0.32</v>
      </c>
      <c r="L9" s="7" t="n">
        <v>-4907</v>
      </c>
      <c r="M9" s="7" t="n">
        <v>0.97</v>
      </c>
      <c r="N9" s="7" t="n">
        <v>-4.24</v>
      </c>
    </row>
    <row r="10" customFormat="false" ht="15" hidden="false" customHeight="false" outlineLevel="0" collapsed="false">
      <c r="A10" s="7" t="s">
        <v>629</v>
      </c>
      <c r="B10" s="7" t="n">
        <v>314</v>
      </c>
      <c r="C10" s="7" t="s">
        <v>623</v>
      </c>
      <c r="D10" s="7" t="n">
        <v>684</v>
      </c>
      <c r="E10" s="7" t="n">
        <v>-5649</v>
      </c>
      <c r="F10" s="7" t="n">
        <v>6333</v>
      </c>
      <c r="G10" s="7" t="n">
        <v>0.5</v>
      </c>
      <c r="H10" s="7" t="n">
        <v>-18</v>
      </c>
      <c r="I10" s="7" t="n">
        <v>0.076</v>
      </c>
      <c r="J10" s="7" t="n">
        <v>82</v>
      </c>
      <c r="K10" s="7" t="n">
        <v>0.32</v>
      </c>
      <c r="L10" s="7" t="n">
        <v>-5683</v>
      </c>
      <c r="M10" s="7" t="n">
        <v>0.58</v>
      </c>
      <c r="N10" s="7" t="n">
        <v>-4.75</v>
      </c>
    </row>
    <row r="11" customFormat="false" ht="15" hidden="false" customHeight="false" outlineLevel="0" collapsed="false">
      <c r="A11" s="7" t="s">
        <v>630</v>
      </c>
      <c r="B11" s="7" t="n">
        <v>304</v>
      </c>
      <c r="C11" s="7" t="s">
        <v>631</v>
      </c>
      <c r="D11" s="7" t="n">
        <v>958</v>
      </c>
      <c r="E11" s="7" t="n">
        <v>-3216</v>
      </c>
      <c r="F11" s="7" t="n">
        <v>4174</v>
      </c>
      <c r="G11" s="7" t="n">
        <v>0.67</v>
      </c>
      <c r="H11" s="7" t="n">
        <v>-10.6</v>
      </c>
      <c r="I11" s="7" t="n">
        <v>0.09</v>
      </c>
      <c r="J11" s="7" t="n">
        <v>82</v>
      </c>
      <c r="K11" s="7" t="n">
        <v>0.24</v>
      </c>
      <c r="L11" s="7" t="n">
        <v>-3231</v>
      </c>
      <c r="M11" s="7" t="n">
        <v>0.83</v>
      </c>
      <c r="N11" s="7" t="n">
        <v>-2.77</v>
      </c>
    </row>
    <row r="12" customFormat="false" ht="15" hidden="false" customHeight="false" outlineLevel="0" collapsed="false">
      <c r="A12" s="7" t="s">
        <v>632</v>
      </c>
      <c r="B12" s="7" t="n">
        <v>304</v>
      </c>
      <c r="C12" s="7" t="s">
        <v>633</v>
      </c>
      <c r="D12" s="7" t="n">
        <v>958</v>
      </c>
      <c r="E12" s="7" t="n">
        <v>-1163</v>
      </c>
      <c r="F12" s="7" t="n">
        <v>2121</v>
      </c>
      <c r="G12" s="7" t="n">
        <v>0.87</v>
      </c>
      <c r="H12" s="7" t="n">
        <v>-3.8</v>
      </c>
      <c r="I12" s="7" t="n">
        <v>0.09</v>
      </c>
      <c r="J12" s="7" t="n">
        <v>82</v>
      </c>
      <c r="K12" s="7" t="n">
        <v>0.16</v>
      </c>
      <c r="L12" s="7" t="n">
        <v>-1230</v>
      </c>
      <c r="M12" s="7" t="n">
        <v>0.83</v>
      </c>
      <c r="N12" s="7" t="n">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2026-10-17T23:11:45Z</dcterms:created>
  <dc:creator>openpyxl</dc:creator>
  <dc:description/>
  <dc:language>en-US</dc:language>
  <cp:lastModifiedBy/>
  <dcterms:modified xsi:type="dcterms:W3CDTF">2026-10-17T23:11:46Z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